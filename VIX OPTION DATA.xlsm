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- - Reporting - -\Artemis\VIX OPTION\"/>
    </mc:Choice>
  </mc:AlternateContent>
  <bookViews>
    <workbookView xWindow="0" yWindow="0" windowWidth="19200" windowHeight="10395" activeTab="1"/>
  </bookViews>
  <sheets>
    <sheet name="Forward" sheetId="4" r:id="rId1"/>
    <sheet name="Data" sheetId="5" r:id="rId2"/>
    <sheet name="Call" sheetId="1" r:id="rId3"/>
    <sheet name="Put" sheetId="3" r:id="rId4"/>
    <sheet name="Date" sheetId="2" r:id="rId5"/>
  </sheets>
  <externalReferences>
    <externalReference r:id="rId6"/>
  </externalReferences>
  <definedNames>
    <definedName name="_xlnm._FilterDatabase" localSheetId="1" hidden="1">Data!$A$1:$H$261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" i="5"/>
  <c r="D260" i="5" l="1"/>
  <c r="B2" i="4" l="1"/>
  <c r="B3" i="4"/>
  <c r="B4" i="4"/>
  <c r="B5" i="4"/>
  <c r="B6" i="4"/>
  <c r="A1" i="3"/>
  <c r="A1" i="1"/>
  <c r="D1" i="3"/>
  <c r="C1" i="3"/>
  <c r="E1" i="3"/>
  <c r="F1" i="3"/>
  <c r="B1" i="3"/>
  <c r="F1" i="1"/>
  <c r="C1" i="1"/>
  <c r="D1" i="1"/>
  <c r="E1" i="1"/>
  <c r="B1" i="1"/>
  <c r="C6" i="1"/>
  <c r="B16" i="1"/>
  <c r="E2" i="3"/>
  <c r="B20" i="3"/>
  <c r="F6" i="1"/>
  <c r="D10" i="1"/>
  <c r="D19" i="3"/>
  <c r="E5" i="3"/>
  <c r="E27" i="1"/>
  <c r="F24" i="1"/>
  <c r="E2" i="1"/>
  <c r="D18" i="3"/>
  <c r="F2" i="3"/>
  <c r="C16" i="1"/>
  <c r="F19" i="1"/>
  <c r="E6" i="1"/>
  <c r="D13" i="3"/>
  <c r="F18" i="3"/>
  <c r="F20" i="3"/>
  <c r="D23" i="1"/>
  <c r="B22" i="1"/>
  <c r="E26" i="3"/>
  <c r="B4" i="3"/>
  <c r="F13" i="1"/>
  <c r="D21" i="1"/>
  <c r="D3" i="3"/>
  <c r="E20" i="3"/>
  <c r="F8" i="1"/>
  <c r="F2" i="1"/>
  <c r="D18" i="1"/>
  <c r="D27" i="3"/>
  <c r="E13" i="3"/>
  <c r="F27" i="1"/>
  <c r="B12" i="1"/>
  <c r="F21" i="1"/>
  <c r="C15" i="3"/>
  <c r="E22" i="3"/>
  <c r="C6" i="4"/>
  <c r="D7" i="1"/>
  <c r="B15" i="1"/>
  <c r="E10" i="3"/>
  <c r="B23" i="3"/>
  <c r="F10" i="1"/>
  <c r="D5" i="1"/>
  <c r="D22" i="3"/>
  <c r="E4" i="3"/>
  <c r="B11" i="3"/>
  <c r="F23" i="1"/>
  <c r="E10" i="1"/>
  <c r="D17" i="3"/>
  <c r="F5" i="3"/>
  <c r="E26" i="1"/>
  <c r="C9" i="1"/>
  <c r="E19" i="1"/>
  <c r="C16" i="3"/>
  <c r="F26" i="3"/>
  <c r="C1" i="4"/>
  <c r="D8" i="1"/>
  <c r="D2" i="3"/>
  <c r="E25" i="3"/>
  <c r="B7" i="3"/>
  <c r="F12" i="1"/>
  <c r="E3" i="1"/>
  <c r="D6" i="3"/>
  <c r="F25" i="3"/>
  <c r="D15" i="1"/>
  <c r="F5" i="1"/>
  <c r="D13" i="1"/>
  <c r="D4" i="3"/>
  <c r="E12" i="3"/>
  <c r="E16" i="3"/>
  <c r="E12" i="1"/>
  <c r="E27" i="3"/>
  <c r="D11" i="3"/>
  <c r="B2" i="3"/>
  <c r="B20" i="1"/>
  <c r="F18" i="1"/>
  <c r="D14" i="1"/>
  <c r="D23" i="3"/>
  <c r="E9" i="3"/>
  <c r="D27" i="1"/>
  <c r="F14" i="1"/>
  <c r="E14" i="1"/>
  <c r="D21" i="3"/>
  <c r="F9" i="3"/>
  <c r="D17" i="1"/>
  <c r="C21" i="1"/>
  <c r="E5" i="1"/>
  <c r="C20" i="3"/>
  <c r="F4" i="3"/>
  <c r="D16" i="3"/>
  <c r="C23" i="1"/>
  <c r="B2" i="1"/>
  <c r="C19" i="3"/>
  <c r="F3" i="3"/>
  <c r="F17" i="1"/>
  <c r="D25" i="1"/>
  <c r="D7" i="3"/>
  <c r="E24" i="3"/>
  <c r="F7" i="1"/>
  <c r="F11" i="1"/>
  <c r="E25" i="1"/>
  <c r="D5" i="3"/>
  <c r="F24" i="3"/>
  <c r="B6" i="1"/>
  <c r="F4" i="1"/>
  <c r="E22" i="1"/>
  <c r="D12" i="3"/>
  <c r="F17" i="3"/>
  <c r="F21" i="3"/>
  <c r="E23" i="3"/>
  <c r="B26" i="1"/>
  <c r="F9" i="1"/>
  <c r="F22" i="1"/>
  <c r="D9" i="1"/>
  <c r="D26" i="3"/>
  <c r="E8" i="3"/>
  <c r="C11" i="1"/>
  <c r="C25" i="1"/>
  <c r="E9" i="1"/>
  <c r="C24" i="3"/>
  <c r="F8" i="3"/>
  <c r="B23" i="1"/>
  <c r="C5" i="1"/>
  <c r="E4" i="1"/>
  <c r="C23" i="3"/>
  <c r="F7" i="3"/>
  <c r="E18" i="3"/>
  <c r="C26" i="1"/>
  <c r="B9" i="1"/>
  <c r="C22" i="3"/>
  <c r="B9" i="3"/>
  <c r="F16" i="1"/>
  <c r="E11" i="1"/>
  <c r="D10" i="3"/>
  <c r="F10" i="3"/>
  <c r="C14" i="1"/>
  <c r="C20" i="1"/>
  <c r="E24" i="1"/>
  <c r="C8" i="3"/>
  <c r="F27" i="3"/>
  <c r="D24" i="3"/>
  <c r="F3" i="1"/>
  <c r="E17" i="1"/>
  <c r="C25" i="3"/>
  <c r="F16" i="3"/>
  <c r="C8" i="1"/>
  <c r="C4" i="4"/>
  <c r="B15" i="3"/>
  <c r="E7" i="3"/>
  <c r="D19" i="1"/>
  <c r="C6" i="3"/>
  <c r="F26" i="1"/>
  <c r="E18" i="1"/>
  <c r="D25" i="3"/>
  <c r="F13" i="3"/>
  <c r="E20" i="1"/>
  <c r="C4" i="1"/>
  <c r="E8" i="1"/>
  <c r="C27" i="3"/>
  <c r="F11" i="3"/>
  <c r="C7" i="3"/>
  <c r="C13" i="1"/>
  <c r="B13" i="1"/>
  <c r="C26" i="3"/>
  <c r="B13" i="3"/>
  <c r="B6" i="3"/>
  <c r="D16" i="1"/>
  <c r="B4" i="1"/>
  <c r="E3" i="3"/>
  <c r="B8" i="3"/>
  <c r="F15" i="1"/>
  <c r="E15" i="1"/>
  <c r="D9" i="3"/>
  <c r="F6" i="3"/>
  <c r="E21" i="1"/>
  <c r="C15" i="1"/>
  <c r="B14" i="1"/>
  <c r="C11" i="3"/>
  <c r="B18" i="3"/>
  <c r="E17" i="3"/>
  <c r="C12" i="1"/>
  <c r="E16" i="1"/>
  <c r="C21" i="3"/>
  <c r="F19" i="3"/>
  <c r="F15" i="3"/>
  <c r="D20" i="1"/>
  <c r="B24" i="1"/>
  <c r="B10" i="1"/>
  <c r="B24" i="3"/>
  <c r="C2" i="1"/>
  <c r="E13" i="1"/>
  <c r="C13" i="3"/>
  <c r="F12" i="3"/>
  <c r="C2" i="3"/>
  <c r="C17" i="1"/>
  <c r="B17" i="1"/>
  <c r="C5" i="3"/>
  <c r="B17" i="3"/>
  <c r="F23" i="3"/>
  <c r="D24" i="1"/>
  <c r="B8" i="1"/>
  <c r="E15" i="3"/>
  <c r="B12" i="3"/>
  <c r="C5" i="4"/>
  <c r="D12" i="1"/>
  <c r="B3" i="1"/>
  <c r="E11" i="3"/>
  <c r="D22" i="1"/>
  <c r="C24" i="1"/>
  <c r="E7" i="1"/>
  <c r="C12" i="3"/>
  <c r="F14" i="3"/>
  <c r="D8" i="3"/>
  <c r="C18" i="1"/>
  <c r="B18" i="1"/>
  <c r="C14" i="3"/>
  <c r="B26" i="3"/>
  <c r="B10" i="3"/>
  <c r="C7" i="1"/>
  <c r="B25" i="1"/>
  <c r="C3" i="3"/>
  <c r="B25" i="3"/>
  <c r="C9" i="3"/>
  <c r="B16" i="3"/>
  <c r="D4" i="1"/>
  <c r="C10" i="3"/>
  <c r="C10" i="1"/>
  <c r="C3" i="1"/>
  <c r="B21" i="1"/>
  <c r="C17" i="3"/>
  <c r="B21" i="3"/>
  <c r="C3" i="4"/>
  <c r="D3" i="1"/>
  <c r="B11" i="1"/>
  <c r="E6" i="3"/>
  <c r="B19" i="3"/>
  <c r="F25" i="1"/>
  <c r="D6" i="1"/>
  <c r="D15" i="3"/>
  <c r="E19" i="3"/>
  <c r="B27" i="1"/>
  <c r="F20" i="1"/>
  <c r="E23" i="1"/>
  <c r="D14" i="3"/>
  <c r="F22" i="3"/>
  <c r="C4" i="3"/>
  <c r="C22" i="1"/>
  <c r="B5" i="1"/>
  <c r="C18" i="3"/>
  <c r="B5" i="3"/>
  <c r="B14" i="3"/>
  <c r="D26" i="1"/>
  <c r="D20" i="3"/>
  <c r="E21" i="3"/>
  <c r="B3" i="3"/>
  <c r="C2" i="4"/>
  <c r="D11" i="1"/>
  <c r="B19" i="1"/>
  <c r="E14" i="3"/>
  <c r="B27" i="3"/>
  <c r="C27" i="1"/>
  <c r="D2" i="1"/>
  <c r="B7" i="1"/>
  <c r="C19" i="1"/>
  <c r="B22" i="3"/>
  <c r="C156" i="5" l="1"/>
  <c r="C152" i="5"/>
  <c r="C148" i="5"/>
  <c r="C144" i="5"/>
  <c r="C140" i="5"/>
  <c r="C136" i="5"/>
  <c r="C132" i="5"/>
  <c r="C6" i="5"/>
  <c r="C10" i="5"/>
  <c r="C14" i="5"/>
  <c r="C18" i="5"/>
  <c r="C22" i="5"/>
  <c r="C26" i="5"/>
  <c r="C8" i="5"/>
  <c r="C24" i="5"/>
  <c r="C155" i="5"/>
  <c r="C151" i="5"/>
  <c r="C147" i="5"/>
  <c r="C143" i="5"/>
  <c r="C139" i="5"/>
  <c r="C135" i="5"/>
  <c r="C3" i="5"/>
  <c r="C7" i="5"/>
  <c r="C11" i="5"/>
  <c r="C15" i="5"/>
  <c r="C19" i="5"/>
  <c r="C23" i="5"/>
  <c r="C27" i="5"/>
  <c r="C4" i="5"/>
  <c r="C12" i="5"/>
  <c r="C16" i="5"/>
  <c r="C20" i="5"/>
  <c r="C2" i="5"/>
  <c r="C154" i="5"/>
  <c r="C150" i="5"/>
  <c r="C146" i="5"/>
  <c r="C142" i="5"/>
  <c r="C138" i="5"/>
  <c r="C134" i="5"/>
  <c r="C157" i="5"/>
  <c r="C141" i="5"/>
  <c r="C17" i="5"/>
  <c r="C133" i="5"/>
  <c r="C25" i="5"/>
  <c r="C13" i="5"/>
  <c r="C153" i="5"/>
  <c r="C137" i="5"/>
  <c r="C5" i="5"/>
  <c r="C21" i="5"/>
  <c r="C149" i="5"/>
  <c r="C9" i="5"/>
  <c r="C145" i="5"/>
  <c r="C232" i="5"/>
  <c r="C228" i="5"/>
  <c r="C224" i="5"/>
  <c r="C220" i="5"/>
  <c r="C216" i="5"/>
  <c r="C212" i="5"/>
  <c r="C82" i="5"/>
  <c r="C86" i="5"/>
  <c r="C90" i="5"/>
  <c r="C94" i="5"/>
  <c r="C98" i="5"/>
  <c r="C102" i="5"/>
  <c r="C80" i="5"/>
  <c r="C235" i="5"/>
  <c r="C231" i="5"/>
  <c r="C227" i="5"/>
  <c r="C223" i="5"/>
  <c r="C219" i="5"/>
  <c r="C215" i="5"/>
  <c r="C211" i="5"/>
  <c r="C83" i="5"/>
  <c r="C87" i="5"/>
  <c r="C91" i="5"/>
  <c r="C95" i="5"/>
  <c r="C99" i="5"/>
  <c r="C103" i="5"/>
  <c r="C233" i="5"/>
  <c r="C229" i="5"/>
  <c r="C225" i="5"/>
  <c r="C221" i="5"/>
  <c r="C217" i="5"/>
  <c r="C213" i="5"/>
  <c r="C234" i="5"/>
  <c r="C230" i="5"/>
  <c r="C226" i="5"/>
  <c r="C222" i="5"/>
  <c r="C218" i="5"/>
  <c r="C214" i="5"/>
  <c r="C210" i="5"/>
  <c r="C84" i="5"/>
  <c r="C88" i="5"/>
  <c r="C92" i="5"/>
  <c r="C96" i="5"/>
  <c r="C100" i="5"/>
  <c r="C104" i="5"/>
  <c r="C93" i="5"/>
  <c r="C105" i="5"/>
  <c r="C81" i="5"/>
  <c r="C97" i="5"/>
  <c r="C85" i="5"/>
  <c r="C101" i="5"/>
  <c r="C89" i="5"/>
  <c r="C208" i="5"/>
  <c r="C204" i="5"/>
  <c r="C200" i="5"/>
  <c r="C196" i="5"/>
  <c r="C192" i="5"/>
  <c r="C188" i="5"/>
  <c r="C184" i="5"/>
  <c r="C58" i="5"/>
  <c r="C62" i="5"/>
  <c r="C66" i="5"/>
  <c r="C70" i="5"/>
  <c r="C74" i="5"/>
  <c r="C78" i="5"/>
  <c r="C207" i="5"/>
  <c r="C203" i="5"/>
  <c r="C199" i="5"/>
  <c r="C195" i="5"/>
  <c r="C191" i="5"/>
  <c r="C187" i="5"/>
  <c r="C55" i="5"/>
  <c r="C59" i="5"/>
  <c r="C63" i="5"/>
  <c r="C67" i="5"/>
  <c r="C71" i="5"/>
  <c r="C75" i="5"/>
  <c r="C79" i="5"/>
  <c r="C206" i="5"/>
  <c r="C202" i="5"/>
  <c r="C198" i="5"/>
  <c r="C194" i="5"/>
  <c r="C190" i="5"/>
  <c r="C186" i="5"/>
  <c r="C56" i="5"/>
  <c r="C60" i="5"/>
  <c r="C64" i="5"/>
  <c r="C68" i="5"/>
  <c r="C72" i="5"/>
  <c r="C76" i="5"/>
  <c r="C54" i="5"/>
  <c r="C205" i="5"/>
  <c r="C189" i="5"/>
  <c r="C57" i="5"/>
  <c r="C73" i="5"/>
  <c r="C65" i="5"/>
  <c r="C209" i="5"/>
  <c r="C201" i="5"/>
  <c r="C185" i="5"/>
  <c r="C61" i="5"/>
  <c r="C77" i="5"/>
  <c r="C197" i="5"/>
  <c r="C193" i="5"/>
  <c r="C69" i="5"/>
  <c r="C180" i="5"/>
  <c r="C176" i="5"/>
  <c r="C172" i="5"/>
  <c r="C168" i="5"/>
  <c r="C164" i="5"/>
  <c r="C160" i="5"/>
  <c r="C30" i="5"/>
  <c r="C34" i="5"/>
  <c r="C38" i="5"/>
  <c r="C42" i="5"/>
  <c r="C46" i="5"/>
  <c r="C50" i="5"/>
  <c r="C28" i="5"/>
  <c r="C44" i="5"/>
  <c r="C52" i="5"/>
  <c r="C183" i="5"/>
  <c r="C179" i="5"/>
  <c r="C175" i="5"/>
  <c r="C171" i="5"/>
  <c r="C167" i="5"/>
  <c r="C163" i="5"/>
  <c r="C159" i="5"/>
  <c r="C31" i="5"/>
  <c r="C35" i="5"/>
  <c r="C39" i="5"/>
  <c r="C43" i="5"/>
  <c r="C47" i="5"/>
  <c r="C51" i="5"/>
  <c r="C40" i="5"/>
  <c r="C48" i="5"/>
  <c r="C182" i="5"/>
  <c r="C178" i="5"/>
  <c r="C174" i="5"/>
  <c r="C170" i="5"/>
  <c r="C166" i="5"/>
  <c r="C162" i="5"/>
  <c r="C158" i="5"/>
  <c r="C32" i="5"/>
  <c r="C36" i="5"/>
  <c r="C173" i="5"/>
  <c r="C37" i="5"/>
  <c r="C53" i="5"/>
  <c r="C45" i="5"/>
  <c r="C161" i="5"/>
  <c r="C33" i="5"/>
  <c r="C169" i="5"/>
  <c r="C41" i="5"/>
  <c r="C181" i="5"/>
  <c r="C165" i="5"/>
  <c r="C29" i="5"/>
  <c r="C177" i="5"/>
  <c r="C49" i="5"/>
  <c r="C260" i="5"/>
  <c r="C256" i="5"/>
  <c r="C252" i="5"/>
  <c r="C248" i="5"/>
  <c r="C244" i="5"/>
  <c r="C240" i="5"/>
  <c r="C236" i="5"/>
  <c r="C110" i="5"/>
  <c r="C114" i="5"/>
  <c r="C118" i="5"/>
  <c r="C122" i="5"/>
  <c r="C126" i="5"/>
  <c r="C130" i="5"/>
  <c r="C259" i="5"/>
  <c r="C255" i="5"/>
  <c r="C251" i="5"/>
  <c r="C247" i="5"/>
  <c r="C243" i="5"/>
  <c r="C239" i="5"/>
  <c r="C107" i="5"/>
  <c r="C111" i="5"/>
  <c r="C115" i="5"/>
  <c r="C119" i="5"/>
  <c r="C123" i="5"/>
  <c r="C127" i="5"/>
  <c r="C131" i="5"/>
  <c r="C261" i="5"/>
  <c r="C257" i="5"/>
  <c r="C253" i="5"/>
  <c r="C249" i="5"/>
  <c r="C245" i="5"/>
  <c r="C241" i="5"/>
  <c r="C237" i="5"/>
  <c r="C258" i="5"/>
  <c r="C254" i="5"/>
  <c r="C250" i="5"/>
  <c r="C246" i="5"/>
  <c r="C242" i="5"/>
  <c r="C238" i="5"/>
  <c r="C108" i="5"/>
  <c r="C112" i="5"/>
  <c r="C116" i="5"/>
  <c r="C120" i="5"/>
  <c r="C124" i="5"/>
  <c r="C128" i="5"/>
  <c r="C106" i="5"/>
  <c r="C113" i="5"/>
  <c r="C129" i="5"/>
  <c r="C109" i="5"/>
  <c r="C117" i="5"/>
  <c r="C121" i="5"/>
  <c r="C125" i="5"/>
</calcChain>
</file>

<file path=xl/sharedStrings.xml><?xml version="1.0" encoding="utf-8"?>
<sst xmlns="http://schemas.openxmlformats.org/spreadsheetml/2006/main" count="9" uniqueCount="9">
  <si>
    <t>vix index</t>
  </si>
  <si>
    <t>Option</t>
  </si>
  <si>
    <t>Strike</t>
  </si>
  <si>
    <t>Type</t>
  </si>
  <si>
    <t>Group</t>
  </si>
  <si>
    <t>Moneyness</t>
  </si>
  <si>
    <t>T</t>
  </si>
  <si>
    <t>FT</t>
  </si>
  <si>
    <t>OTM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</si>
</sst>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estion%20Alternative\Front_office\Risk%20Management\-%20Quant%20-\Tools\Excel%20xlam\Op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 Specification"/>
      <sheetName val="Equity Common Share"/>
      <sheetName val="Equity Option Listed"/>
      <sheetName val="Cash"/>
      <sheetName val="Options"/>
    </sheetNames>
    <definedNames>
      <definedName name="option_maturity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workbookViewId="0">
      <selection activeCell="C1" sqref="C1"/>
    </sheetView>
  </sheetViews>
  <sheetFormatPr defaultRowHeight="15" x14ac:dyDescent="0.25"/>
  <cols>
    <col min="2" max="2" width="9.85546875" bestFit="1" customWidth="1"/>
  </cols>
  <sheetData>
    <row r="1" spans="1:3" x14ac:dyDescent="0.25">
      <c r="A1">
        <v>0</v>
      </c>
      <c r="B1" t="s">
        <v>0</v>
      </c>
      <c r="C1" t="e">
        <f ca="1">_xll.BDH(B1,"px last",Date!$A$1)</f>
        <v>#NAME?</v>
      </c>
    </row>
    <row r="2" spans="1:3" x14ac:dyDescent="0.25">
      <c r="A2">
        <v>1</v>
      </c>
      <c r="B2" t="str">
        <f t="shared" ref="B2:B6" si="0">"UX"&amp;A2&amp;" Index"</f>
        <v>UX1 Index</v>
      </c>
      <c r="C2" t="e">
        <f ca="1">_xll.BDH(B2,"px last",Date!$A$1)</f>
        <v>#NAME?</v>
      </c>
    </row>
    <row r="3" spans="1:3" x14ac:dyDescent="0.25">
      <c r="A3">
        <v>2</v>
      </c>
      <c r="B3" t="str">
        <f t="shared" si="0"/>
        <v>UX2 Index</v>
      </c>
      <c r="C3" t="e">
        <f ca="1">_xll.BDH(B3,"px last",Date!$A$1)</f>
        <v>#NAME?</v>
      </c>
    </row>
    <row r="4" spans="1:3" x14ac:dyDescent="0.25">
      <c r="A4">
        <v>3</v>
      </c>
      <c r="B4" t="str">
        <f t="shared" si="0"/>
        <v>UX3 Index</v>
      </c>
      <c r="C4" t="e">
        <f ca="1">_xll.BDH(B4,"px last",Date!$A$1)</f>
        <v>#NAME?</v>
      </c>
    </row>
    <row r="5" spans="1:3" x14ac:dyDescent="0.25">
      <c r="A5">
        <v>4</v>
      </c>
      <c r="B5" t="str">
        <f t="shared" si="0"/>
        <v>UX4 Index</v>
      </c>
      <c r="C5" t="e">
        <f ca="1">_xll.BDH(B5,"px last",Date!$A$1)</f>
        <v>#NAME?</v>
      </c>
    </row>
    <row r="6" spans="1:3" x14ac:dyDescent="0.25">
      <c r="A6">
        <v>5</v>
      </c>
      <c r="B6" t="str">
        <f t="shared" si="0"/>
        <v>UX5 Index</v>
      </c>
      <c r="C6" t="e">
        <f ca="1">_xll.BDH(B6,"px last",Date!$A$1)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M261"/>
  <sheetViews>
    <sheetView tabSelected="1" workbookViewId="0">
      <selection activeCell="G6" sqref="G6"/>
    </sheetView>
  </sheetViews>
  <sheetFormatPr defaultRowHeight="15" x14ac:dyDescent="0.25"/>
  <cols>
    <col min="1" max="1" width="10.42578125" style="2" customWidth="1"/>
    <col min="12" max="12" width="9.7109375" bestFit="1" customWidth="1"/>
  </cols>
  <sheetData>
    <row r="1" spans="1:8" x14ac:dyDescent="0.25">
      <c r="A1" s="2" t="s">
        <v>3</v>
      </c>
      <c r="B1" t="s">
        <v>2</v>
      </c>
      <c r="C1" t="s">
        <v>6</v>
      </c>
      <c r="D1" t="s">
        <v>1</v>
      </c>
      <c r="E1" t="s">
        <v>7</v>
      </c>
      <c r="F1" t="s">
        <v>4</v>
      </c>
      <c r="G1" t="s">
        <v>5</v>
      </c>
      <c r="H1" t="s">
        <v>8</v>
      </c>
    </row>
    <row r="2" spans="1:8" hidden="1" x14ac:dyDescent="0.25">
      <c r="A2" s="2">
        <v>1</v>
      </c>
      <c r="B2">
        <v>9</v>
      </c>
      <c r="C2">
        <f>(Call!$B$1-Call!$A$1)/365</f>
        <v>5.2054794520547946E-2</v>
      </c>
      <c r="D2">
        <v>3.6</v>
      </c>
      <c r="E2">
        <v>12.625</v>
      </c>
      <c r="F2">
        <v>1</v>
      </c>
      <c r="G2">
        <f>B2/E2</f>
        <v>0.71287128712871284</v>
      </c>
      <c r="H2">
        <f>IF(A2=1,IF(E2&gt;B2,0,1),IF(E2&gt;B2,1,0))</f>
        <v>0</v>
      </c>
    </row>
    <row r="3" spans="1:8" hidden="1" x14ac:dyDescent="0.25">
      <c r="A3" s="2">
        <v>1</v>
      </c>
      <c r="B3">
        <v>10</v>
      </c>
      <c r="C3">
        <f>(Call!$B$1-Call!$A$1)/365</f>
        <v>5.2054794520547946E-2</v>
      </c>
      <c r="D3">
        <v>2.65</v>
      </c>
      <c r="E3">
        <v>12.625</v>
      </c>
      <c r="F3">
        <v>1</v>
      </c>
      <c r="G3">
        <f t="shared" ref="G3:G66" si="0">B3/E3</f>
        <v>0.79207920792079212</v>
      </c>
      <c r="H3">
        <f t="shared" ref="H3:H66" si="1">IF(A3=1,IF(E3&gt;B3,0,1),IF(E3&gt;B3,1,0))</f>
        <v>0</v>
      </c>
    </row>
    <row r="4" spans="1:8" hidden="1" x14ac:dyDescent="0.25">
      <c r="A4" s="2">
        <v>1</v>
      </c>
      <c r="B4">
        <v>11</v>
      </c>
      <c r="C4">
        <f>(Call!$B$1-Call!$A$1)/365</f>
        <v>5.2054794520547946E-2</v>
      </c>
      <c r="D4">
        <v>1.78</v>
      </c>
      <c r="E4">
        <v>12.625</v>
      </c>
      <c r="F4">
        <v>1</v>
      </c>
      <c r="G4">
        <f t="shared" si="0"/>
        <v>0.87128712871287128</v>
      </c>
      <c r="H4">
        <f t="shared" si="1"/>
        <v>0</v>
      </c>
    </row>
    <row r="5" spans="1:8" hidden="1" x14ac:dyDescent="0.25">
      <c r="A5" s="2">
        <v>1</v>
      </c>
      <c r="B5">
        <v>12</v>
      </c>
      <c r="C5">
        <f>(Call!$B$1-Call!$A$1)/365</f>
        <v>5.2054794520547946E-2</v>
      </c>
      <c r="D5">
        <v>1.2</v>
      </c>
      <c r="E5">
        <v>12.625</v>
      </c>
      <c r="F5">
        <v>1</v>
      </c>
      <c r="G5">
        <f t="shared" si="0"/>
        <v>0.95049504950495045</v>
      </c>
      <c r="H5">
        <f t="shared" si="1"/>
        <v>0</v>
      </c>
    </row>
    <row r="6" spans="1:8" x14ac:dyDescent="0.25">
      <c r="A6" s="2">
        <v>1</v>
      </c>
      <c r="B6">
        <v>13</v>
      </c>
      <c r="C6">
        <f>(Call!$B$1-Call!$A$1)/365</f>
        <v>5.2054794520547946E-2</v>
      </c>
      <c r="D6">
        <v>0.85</v>
      </c>
      <c r="E6">
        <v>12.625</v>
      </c>
      <c r="F6">
        <v>1</v>
      </c>
      <c r="G6">
        <f t="shared" si="0"/>
        <v>1.0297029702970297</v>
      </c>
      <c r="H6">
        <f t="shared" si="1"/>
        <v>1</v>
      </c>
    </row>
    <row r="7" spans="1:8" x14ac:dyDescent="0.25">
      <c r="A7" s="2">
        <v>1</v>
      </c>
      <c r="B7">
        <v>14</v>
      </c>
      <c r="C7">
        <f>(Call!$B$1-Call!$A$1)/365</f>
        <v>5.2054794520547946E-2</v>
      </c>
      <c r="D7">
        <v>0.65</v>
      </c>
      <c r="E7">
        <v>12.625</v>
      </c>
      <c r="F7">
        <v>1</v>
      </c>
      <c r="G7">
        <f t="shared" si="0"/>
        <v>1.108910891089109</v>
      </c>
      <c r="H7">
        <f t="shared" si="1"/>
        <v>1</v>
      </c>
    </row>
    <row r="8" spans="1:8" x14ac:dyDescent="0.25">
      <c r="A8" s="2">
        <v>1</v>
      </c>
      <c r="B8">
        <v>15</v>
      </c>
      <c r="C8">
        <f>(Call!$B$1-Call!$A$1)/365</f>
        <v>5.2054794520547946E-2</v>
      </c>
      <c r="D8">
        <v>0.53</v>
      </c>
      <c r="E8">
        <v>12.625</v>
      </c>
      <c r="F8">
        <v>1</v>
      </c>
      <c r="G8">
        <f t="shared" si="0"/>
        <v>1.1881188118811881</v>
      </c>
      <c r="H8">
        <f t="shared" si="1"/>
        <v>1</v>
      </c>
    </row>
    <row r="9" spans="1:8" x14ac:dyDescent="0.25">
      <c r="A9" s="2">
        <v>1</v>
      </c>
      <c r="B9">
        <v>16</v>
      </c>
      <c r="C9">
        <f>(Call!$B$1-Call!$A$1)/365</f>
        <v>5.2054794520547946E-2</v>
      </c>
      <c r="D9">
        <v>0.42</v>
      </c>
      <c r="E9">
        <v>12.625</v>
      </c>
      <c r="F9">
        <v>1</v>
      </c>
      <c r="G9">
        <f t="shared" si="0"/>
        <v>1.2673267326732673</v>
      </c>
      <c r="H9">
        <f t="shared" si="1"/>
        <v>1</v>
      </c>
    </row>
    <row r="10" spans="1:8" x14ac:dyDescent="0.25">
      <c r="A10" s="2">
        <v>1</v>
      </c>
      <c r="B10">
        <v>17</v>
      </c>
      <c r="C10">
        <f>(Call!$B$1-Call!$A$1)/365</f>
        <v>5.2054794520547946E-2</v>
      </c>
      <c r="D10">
        <v>0.35</v>
      </c>
      <c r="E10">
        <v>12.625</v>
      </c>
      <c r="F10">
        <v>1</v>
      </c>
      <c r="G10">
        <f t="shared" si="0"/>
        <v>1.3465346534653466</v>
      </c>
      <c r="H10">
        <f t="shared" si="1"/>
        <v>1</v>
      </c>
    </row>
    <row r="11" spans="1:8" x14ac:dyDescent="0.25">
      <c r="A11" s="2">
        <v>1</v>
      </c>
      <c r="B11">
        <v>18</v>
      </c>
      <c r="C11">
        <f>(Call!$B$1-Call!$A$1)/365</f>
        <v>5.2054794520547946E-2</v>
      </c>
      <c r="D11">
        <v>0.28000000000000003</v>
      </c>
      <c r="E11">
        <v>12.625</v>
      </c>
      <c r="F11">
        <v>1</v>
      </c>
      <c r="G11">
        <f t="shared" si="0"/>
        <v>1.4257425742574257</v>
      </c>
      <c r="H11">
        <f t="shared" si="1"/>
        <v>1</v>
      </c>
    </row>
    <row r="12" spans="1:8" x14ac:dyDescent="0.25">
      <c r="A12" s="2">
        <v>1</v>
      </c>
      <c r="B12">
        <v>19</v>
      </c>
      <c r="C12">
        <f>(Call!$B$1-Call!$A$1)/365</f>
        <v>5.2054794520547946E-2</v>
      </c>
      <c r="D12">
        <v>0.25</v>
      </c>
      <c r="E12">
        <v>12.625</v>
      </c>
      <c r="F12">
        <v>1</v>
      </c>
      <c r="G12">
        <f t="shared" si="0"/>
        <v>1.504950495049505</v>
      </c>
      <c r="H12">
        <f t="shared" si="1"/>
        <v>1</v>
      </c>
    </row>
    <row r="13" spans="1:8" x14ac:dyDescent="0.25">
      <c r="A13" s="2">
        <v>1</v>
      </c>
      <c r="B13">
        <v>20</v>
      </c>
      <c r="C13">
        <f>(Call!$B$1-Call!$A$1)/365</f>
        <v>5.2054794520547946E-2</v>
      </c>
      <c r="D13">
        <v>0.23</v>
      </c>
      <c r="E13">
        <v>12.625</v>
      </c>
      <c r="F13">
        <v>1</v>
      </c>
      <c r="G13">
        <f t="shared" si="0"/>
        <v>1.5841584158415842</v>
      </c>
      <c r="H13">
        <f t="shared" si="1"/>
        <v>1</v>
      </c>
    </row>
    <row r="14" spans="1:8" x14ac:dyDescent="0.25">
      <c r="A14" s="2">
        <v>1</v>
      </c>
      <c r="B14">
        <v>21</v>
      </c>
      <c r="C14">
        <f>(Call!$B$1-Call!$A$1)/365</f>
        <v>5.2054794520547946E-2</v>
      </c>
      <c r="D14">
        <v>0.18</v>
      </c>
      <c r="E14">
        <v>12.625</v>
      </c>
      <c r="F14">
        <v>1</v>
      </c>
      <c r="G14">
        <f t="shared" si="0"/>
        <v>1.6633663366336633</v>
      </c>
      <c r="H14">
        <f t="shared" si="1"/>
        <v>1</v>
      </c>
    </row>
    <row r="15" spans="1:8" x14ac:dyDescent="0.25">
      <c r="A15" s="2">
        <v>1</v>
      </c>
      <c r="B15">
        <v>22</v>
      </c>
      <c r="C15">
        <f>(Call!$B$1-Call!$A$1)/365</f>
        <v>5.2054794520547946E-2</v>
      </c>
      <c r="D15">
        <v>0.15</v>
      </c>
      <c r="E15">
        <v>12.625</v>
      </c>
      <c r="F15">
        <v>1</v>
      </c>
      <c r="G15">
        <f t="shared" si="0"/>
        <v>1.7425742574257426</v>
      </c>
      <c r="H15">
        <f t="shared" si="1"/>
        <v>1</v>
      </c>
    </row>
    <row r="16" spans="1:8" x14ac:dyDescent="0.25">
      <c r="A16" s="2">
        <v>1</v>
      </c>
      <c r="B16">
        <v>23</v>
      </c>
      <c r="C16">
        <f>(Call!$B$1-Call!$A$1)/365</f>
        <v>5.2054794520547946E-2</v>
      </c>
      <c r="D16">
        <v>0.13</v>
      </c>
      <c r="E16">
        <v>12.625</v>
      </c>
      <c r="F16">
        <v>1</v>
      </c>
      <c r="G16">
        <f t="shared" si="0"/>
        <v>1.8217821782178218</v>
      </c>
      <c r="H16">
        <f t="shared" si="1"/>
        <v>1</v>
      </c>
    </row>
    <row r="17" spans="1:8" x14ac:dyDescent="0.25">
      <c r="A17" s="2">
        <v>1</v>
      </c>
      <c r="B17">
        <v>24</v>
      </c>
      <c r="C17">
        <f>(Call!$B$1-Call!$A$1)/365</f>
        <v>5.2054794520547946E-2</v>
      </c>
      <c r="D17">
        <v>0.13</v>
      </c>
      <c r="E17">
        <v>12.625</v>
      </c>
      <c r="F17">
        <v>1</v>
      </c>
      <c r="G17">
        <f t="shared" si="0"/>
        <v>1.9009900990099009</v>
      </c>
      <c r="H17">
        <f t="shared" si="1"/>
        <v>1</v>
      </c>
    </row>
    <row r="18" spans="1:8" x14ac:dyDescent="0.25">
      <c r="A18" s="2">
        <v>1</v>
      </c>
      <c r="B18">
        <v>25</v>
      </c>
      <c r="C18">
        <f>(Call!$B$1-Call!$A$1)/365</f>
        <v>5.2054794520547946E-2</v>
      </c>
      <c r="D18">
        <v>0.1</v>
      </c>
      <c r="E18">
        <v>12.625</v>
      </c>
      <c r="F18">
        <v>1</v>
      </c>
      <c r="G18">
        <f t="shared" si="0"/>
        <v>1.9801980198019802</v>
      </c>
      <c r="H18">
        <f t="shared" si="1"/>
        <v>1</v>
      </c>
    </row>
    <row r="19" spans="1:8" x14ac:dyDescent="0.25">
      <c r="A19" s="2">
        <v>1</v>
      </c>
      <c r="B19">
        <v>26</v>
      </c>
      <c r="C19">
        <f>(Call!$B$1-Call!$A$1)/365</f>
        <v>5.2054794520547946E-2</v>
      </c>
      <c r="D19">
        <v>0.08</v>
      </c>
      <c r="E19">
        <v>12.625</v>
      </c>
      <c r="F19">
        <v>1</v>
      </c>
      <c r="G19">
        <f t="shared" si="0"/>
        <v>2.0594059405940595</v>
      </c>
      <c r="H19">
        <f t="shared" si="1"/>
        <v>1</v>
      </c>
    </row>
    <row r="20" spans="1:8" x14ac:dyDescent="0.25">
      <c r="A20" s="2">
        <v>1</v>
      </c>
      <c r="B20">
        <v>27</v>
      </c>
      <c r="C20">
        <f>(Call!$B$1-Call!$A$1)/365</f>
        <v>5.2054794520547946E-2</v>
      </c>
      <c r="D20">
        <v>0.08</v>
      </c>
      <c r="E20">
        <v>12.625</v>
      </c>
      <c r="F20">
        <v>1</v>
      </c>
      <c r="G20">
        <f t="shared" si="0"/>
        <v>2.1386138613861387</v>
      </c>
      <c r="H20">
        <f t="shared" si="1"/>
        <v>1</v>
      </c>
    </row>
    <row r="21" spans="1:8" x14ac:dyDescent="0.25">
      <c r="A21" s="2">
        <v>1</v>
      </c>
      <c r="B21">
        <v>28</v>
      </c>
      <c r="C21">
        <f>(Call!$B$1-Call!$A$1)/365</f>
        <v>5.2054794520547946E-2</v>
      </c>
      <c r="D21">
        <v>0.08</v>
      </c>
      <c r="E21">
        <v>12.625</v>
      </c>
      <c r="F21">
        <v>1</v>
      </c>
      <c r="G21">
        <f t="shared" si="0"/>
        <v>2.217821782178218</v>
      </c>
      <c r="H21">
        <f t="shared" si="1"/>
        <v>1</v>
      </c>
    </row>
    <row r="22" spans="1:8" x14ac:dyDescent="0.25">
      <c r="A22" s="2">
        <v>1</v>
      </c>
      <c r="B22">
        <v>29</v>
      </c>
      <c r="C22">
        <f>(Call!$B$1-Call!$A$1)/365</f>
        <v>5.2054794520547946E-2</v>
      </c>
      <c r="D22">
        <v>0.08</v>
      </c>
      <c r="E22">
        <v>12.625</v>
      </c>
      <c r="F22">
        <v>1</v>
      </c>
      <c r="G22">
        <f t="shared" si="0"/>
        <v>2.2970297029702968</v>
      </c>
      <c r="H22">
        <f t="shared" si="1"/>
        <v>1</v>
      </c>
    </row>
    <row r="23" spans="1:8" x14ac:dyDescent="0.25">
      <c r="A23" s="2">
        <v>1</v>
      </c>
      <c r="B23">
        <v>30</v>
      </c>
      <c r="C23">
        <f>(Call!$B$1-Call!$A$1)/365</f>
        <v>5.2054794520547946E-2</v>
      </c>
      <c r="D23">
        <v>0.1</v>
      </c>
      <c r="E23">
        <v>12.625</v>
      </c>
      <c r="F23">
        <v>1</v>
      </c>
      <c r="G23">
        <f t="shared" si="0"/>
        <v>2.3762376237623761</v>
      </c>
      <c r="H23">
        <f t="shared" si="1"/>
        <v>1</v>
      </c>
    </row>
    <row r="24" spans="1:8" x14ac:dyDescent="0.25">
      <c r="A24" s="2">
        <v>1</v>
      </c>
      <c r="B24">
        <v>35</v>
      </c>
      <c r="C24">
        <f>(Call!$B$1-Call!$A$1)/365</f>
        <v>5.2054794520547946E-2</v>
      </c>
      <c r="D24">
        <v>0.05</v>
      </c>
      <c r="E24">
        <v>12.625</v>
      </c>
      <c r="F24">
        <v>1</v>
      </c>
      <c r="G24">
        <f t="shared" si="0"/>
        <v>2.7722772277227721</v>
      </c>
      <c r="H24">
        <f t="shared" si="1"/>
        <v>1</v>
      </c>
    </row>
    <row r="25" spans="1:8" x14ac:dyDescent="0.25">
      <c r="A25" s="2">
        <v>1</v>
      </c>
      <c r="B25">
        <v>40</v>
      </c>
      <c r="C25">
        <f>(Call!$B$1-Call!$A$1)/365</f>
        <v>5.2054794520547946E-2</v>
      </c>
      <c r="D25">
        <v>0.05</v>
      </c>
      <c r="E25">
        <v>12.625</v>
      </c>
      <c r="F25">
        <v>1</v>
      </c>
      <c r="G25">
        <f t="shared" si="0"/>
        <v>3.1683168316831685</v>
      </c>
      <c r="H25">
        <f t="shared" si="1"/>
        <v>1</v>
      </c>
    </row>
    <row r="26" spans="1:8" x14ac:dyDescent="0.25">
      <c r="A26" s="2">
        <v>1</v>
      </c>
      <c r="B26">
        <v>45</v>
      </c>
      <c r="C26">
        <f>(Call!$B$1-Call!$A$1)/365</f>
        <v>5.2054794520547946E-2</v>
      </c>
      <c r="D26">
        <v>0.05</v>
      </c>
      <c r="E26">
        <v>12.625</v>
      </c>
      <c r="F26">
        <v>1</v>
      </c>
      <c r="G26">
        <f t="shared" si="0"/>
        <v>3.5643564356435644</v>
      </c>
      <c r="H26">
        <f t="shared" si="1"/>
        <v>1</v>
      </c>
    </row>
    <row r="27" spans="1:8" x14ac:dyDescent="0.25">
      <c r="A27" s="2">
        <v>1</v>
      </c>
      <c r="B27">
        <v>50</v>
      </c>
      <c r="C27">
        <f>(Call!$B$1-Call!$A$1)/365</f>
        <v>5.2054794520547946E-2</v>
      </c>
      <c r="D27">
        <v>0.05</v>
      </c>
      <c r="E27">
        <v>12.625</v>
      </c>
      <c r="F27">
        <v>1</v>
      </c>
      <c r="G27">
        <f t="shared" si="0"/>
        <v>3.9603960396039604</v>
      </c>
      <c r="H27">
        <f t="shared" si="1"/>
        <v>1</v>
      </c>
    </row>
    <row r="28" spans="1:8" hidden="1" x14ac:dyDescent="0.25">
      <c r="A28" s="2">
        <v>1</v>
      </c>
      <c r="B28">
        <v>9</v>
      </c>
      <c r="C28">
        <f>(Call!$C$1-Call!$A$1)/365</f>
        <v>0.12876712328767123</v>
      </c>
      <c r="D28">
        <v>4.8</v>
      </c>
      <c r="E28">
        <v>13.775</v>
      </c>
      <c r="F28">
        <v>2</v>
      </c>
      <c r="G28">
        <f t="shared" si="0"/>
        <v>0.65335753176043554</v>
      </c>
      <c r="H28">
        <f t="shared" si="1"/>
        <v>0</v>
      </c>
    </row>
    <row r="29" spans="1:8" hidden="1" x14ac:dyDescent="0.25">
      <c r="A29" s="2">
        <v>1</v>
      </c>
      <c r="B29">
        <v>10</v>
      </c>
      <c r="C29">
        <f>(Call!$C$1-Call!$A$1)/365</f>
        <v>0.12876712328767123</v>
      </c>
      <c r="D29">
        <v>3.8</v>
      </c>
      <c r="E29">
        <v>13.775</v>
      </c>
      <c r="F29">
        <v>2</v>
      </c>
      <c r="G29">
        <f t="shared" si="0"/>
        <v>0.72595281306715065</v>
      </c>
      <c r="H29">
        <f t="shared" si="1"/>
        <v>0</v>
      </c>
    </row>
    <row r="30" spans="1:8" hidden="1" x14ac:dyDescent="0.25">
      <c r="A30" s="2">
        <v>1</v>
      </c>
      <c r="B30">
        <v>11</v>
      </c>
      <c r="C30">
        <f>(Call!$C$1-Call!$A$1)/365</f>
        <v>0.12876712328767123</v>
      </c>
      <c r="D30">
        <v>3</v>
      </c>
      <c r="E30">
        <v>13.775</v>
      </c>
      <c r="F30">
        <v>2</v>
      </c>
      <c r="G30">
        <f t="shared" si="0"/>
        <v>0.79854809437386565</v>
      </c>
      <c r="H30">
        <f t="shared" si="1"/>
        <v>0</v>
      </c>
    </row>
    <row r="31" spans="1:8" hidden="1" x14ac:dyDescent="0.25">
      <c r="A31" s="2">
        <v>1</v>
      </c>
      <c r="B31">
        <v>12</v>
      </c>
      <c r="C31">
        <f>(Call!$C$1-Call!$A$1)/365</f>
        <v>0.12876712328767123</v>
      </c>
      <c r="D31">
        <v>2.42</v>
      </c>
      <c r="E31">
        <v>13.775</v>
      </c>
      <c r="F31">
        <v>2</v>
      </c>
      <c r="G31">
        <f t="shared" si="0"/>
        <v>0.87114337568058076</v>
      </c>
      <c r="H31">
        <f t="shared" si="1"/>
        <v>0</v>
      </c>
    </row>
    <row r="32" spans="1:8" hidden="1" x14ac:dyDescent="0.25">
      <c r="A32" s="2">
        <v>1</v>
      </c>
      <c r="B32">
        <v>13</v>
      </c>
      <c r="C32">
        <f>(Call!$C$1-Call!$A$1)/365</f>
        <v>0.12876712328767123</v>
      </c>
      <c r="D32">
        <v>2.02</v>
      </c>
      <c r="E32">
        <v>13.775</v>
      </c>
      <c r="F32">
        <v>2</v>
      </c>
      <c r="G32">
        <f t="shared" si="0"/>
        <v>0.94373865698729575</v>
      </c>
      <c r="H32">
        <f t="shared" si="1"/>
        <v>0</v>
      </c>
    </row>
    <row r="33" spans="1:8" x14ac:dyDescent="0.25">
      <c r="A33" s="2">
        <v>1</v>
      </c>
      <c r="B33">
        <v>14</v>
      </c>
      <c r="C33">
        <f>(Call!$C$1-Call!$A$1)/365</f>
        <v>0.12876712328767123</v>
      </c>
      <c r="D33">
        <v>1.7</v>
      </c>
      <c r="E33">
        <v>13.775</v>
      </c>
      <c r="F33">
        <v>2</v>
      </c>
      <c r="G33">
        <f t="shared" si="0"/>
        <v>1.0163339382940109</v>
      </c>
      <c r="H33">
        <f t="shared" si="1"/>
        <v>1</v>
      </c>
    </row>
    <row r="34" spans="1:8" x14ac:dyDescent="0.25">
      <c r="A34" s="2">
        <v>1</v>
      </c>
      <c r="B34">
        <v>15</v>
      </c>
      <c r="C34">
        <f>(Call!$C$1-Call!$A$1)/365</f>
        <v>0.12876712328767123</v>
      </c>
      <c r="D34">
        <v>1.45</v>
      </c>
      <c r="E34">
        <v>13.775</v>
      </c>
      <c r="F34">
        <v>2</v>
      </c>
      <c r="G34">
        <f t="shared" si="0"/>
        <v>1.0889292196007259</v>
      </c>
      <c r="H34">
        <f t="shared" si="1"/>
        <v>1</v>
      </c>
    </row>
    <row r="35" spans="1:8" x14ac:dyDescent="0.25">
      <c r="A35" s="2">
        <v>1</v>
      </c>
      <c r="B35">
        <v>16</v>
      </c>
      <c r="C35">
        <f>(Call!$C$1-Call!$A$1)/365</f>
        <v>0.12876712328767123</v>
      </c>
      <c r="D35">
        <v>1.28</v>
      </c>
      <c r="E35">
        <v>13.775</v>
      </c>
      <c r="F35">
        <v>2</v>
      </c>
      <c r="G35">
        <f t="shared" si="0"/>
        <v>1.1615245009074411</v>
      </c>
      <c r="H35">
        <f t="shared" si="1"/>
        <v>1</v>
      </c>
    </row>
    <row r="36" spans="1:8" x14ac:dyDescent="0.25">
      <c r="A36" s="2">
        <v>1</v>
      </c>
      <c r="B36">
        <v>17</v>
      </c>
      <c r="C36">
        <f>(Call!$C$1-Call!$A$1)/365</f>
        <v>0.12876712328767123</v>
      </c>
      <c r="D36">
        <v>1.1000000000000001</v>
      </c>
      <c r="E36">
        <v>13.775</v>
      </c>
      <c r="F36">
        <v>2</v>
      </c>
      <c r="G36">
        <f t="shared" si="0"/>
        <v>1.2341197822141561</v>
      </c>
      <c r="H36">
        <f t="shared" si="1"/>
        <v>1</v>
      </c>
    </row>
    <row r="37" spans="1:8" x14ac:dyDescent="0.25">
      <c r="A37" s="2">
        <v>1</v>
      </c>
      <c r="B37">
        <v>18</v>
      </c>
      <c r="C37">
        <f>(Call!$C$1-Call!$A$1)/365</f>
        <v>0.12876712328767123</v>
      </c>
      <c r="D37">
        <v>1</v>
      </c>
      <c r="E37">
        <v>13.775</v>
      </c>
      <c r="F37">
        <v>2</v>
      </c>
      <c r="G37">
        <f t="shared" si="0"/>
        <v>1.3067150635208711</v>
      </c>
      <c r="H37">
        <f t="shared" si="1"/>
        <v>1</v>
      </c>
    </row>
    <row r="38" spans="1:8" x14ac:dyDescent="0.25">
      <c r="A38" s="2">
        <v>1</v>
      </c>
      <c r="B38">
        <v>19</v>
      </c>
      <c r="C38">
        <f>(Call!$C$1-Call!$A$1)/365</f>
        <v>0.12876712328767123</v>
      </c>
      <c r="D38">
        <v>0.9</v>
      </c>
      <c r="E38">
        <v>13.775</v>
      </c>
      <c r="F38">
        <v>2</v>
      </c>
      <c r="G38">
        <f t="shared" si="0"/>
        <v>1.3793103448275861</v>
      </c>
      <c r="H38">
        <f t="shared" si="1"/>
        <v>1</v>
      </c>
    </row>
    <row r="39" spans="1:8" x14ac:dyDescent="0.25">
      <c r="A39" s="2">
        <v>1</v>
      </c>
      <c r="B39">
        <v>20</v>
      </c>
      <c r="C39">
        <f>(Call!$C$1-Call!$A$1)/365</f>
        <v>0.12876712328767123</v>
      </c>
      <c r="D39">
        <v>0.8</v>
      </c>
      <c r="E39">
        <v>13.775</v>
      </c>
      <c r="F39">
        <v>2</v>
      </c>
      <c r="G39">
        <f t="shared" si="0"/>
        <v>1.4519056261343013</v>
      </c>
      <c r="H39">
        <f t="shared" si="1"/>
        <v>1</v>
      </c>
    </row>
    <row r="40" spans="1:8" x14ac:dyDescent="0.25">
      <c r="A40" s="2">
        <v>1</v>
      </c>
      <c r="B40">
        <v>21</v>
      </c>
      <c r="C40">
        <f>(Call!$C$1-Call!$A$1)/365</f>
        <v>0.12876712328767123</v>
      </c>
      <c r="D40">
        <v>0.7</v>
      </c>
      <c r="E40">
        <v>13.775</v>
      </c>
      <c r="F40">
        <v>2</v>
      </c>
      <c r="G40">
        <f t="shared" si="0"/>
        <v>1.5245009074410163</v>
      </c>
      <c r="H40">
        <f t="shared" si="1"/>
        <v>1</v>
      </c>
    </row>
    <row r="41" spans="1:8" x14ac:dyDescent="0.25">
      <c r="A41" s="2">
        <v>1</v>
      </c>
      <c r="B41">
        <v>22</v>
      </c>
      <c r="C41">
        <f>(Call!$C$1-Call!$A$1)/365</f>
        <v>0.12876712328767123</v>
      </c>
      <c r="D41">
        <v>0.65</v>
      </c>
      <c r="E41">
        <v>13.775</v>
      </c>
      <c r="F41">
        <v>2</v>
      </c>
      <c r="G41">
        <f t="shared" si="0"/>
        <v>1.5970961887477313</v>
      </c>
      <c r="H41">
        <f t="shared" si="1"/>
        <v>1</v>
      </c>
    </row>
    <row r="42" spans="1:8" x14ac:dyDescent="0.25">
      <c r="A42" s="2">
        <v>1</v>
      </c>
      <c r="B42">
        <v>23</v>
      </c>
      <c r="C42">
        <f>(Call!$C$1-Call!$A$1)/365</f>
        <v>0.12876712328767123</v>
      </c>
      <c r="D42">
        <v>0.57999999999999996</v>
      </c>
      <c r="E42">
        <v>13.775</v>
      </c>
      <c r="F42">
        <v>2</v>
      </c>
      <c r="G42">
        <f t="shared" si="0"/>
        <v>1.6696914700544465</v>
      </c>
      <c r="H42">
        <f t="shared" si="1"/>
        <v>1</v>
      </c>
    </row>
    <row r="43" spans="1:8" x14ac:dyDescent="0.25">
      <c r="A43" s="2">
        <v>1</v>
      </c>
      <c r="B43">
        <v>24</v>
      </c>
      <c r="C43">
        <f>(Call!$C$1-Call!$A$1)/365</f>
        <v>0.12876712328767123</v>
      </c>
      <c r="D43">
        <v>0.53</v>
      </c>
      <c r="E43">
        <v>13.775</v>
      </c>
      <c r="F43">
        <v>2</v>
      </c>
      <c r="G43">
        <f t="shared" si="0"/>
        <v>1.7422867513611615</v>
      </c>
      <c r="H43">
        <f t="shared" si="1"/>
        <v>1</v>
      </c>
    </row>
    <row r="44" spans="1:8" x14ac:dyDescent="0.25">
      <c r="A44" s="2">
        <v>1</v>
      </c>
      <c r="B44">
        <v>25</v>
      </c>
      <c r="C44">
        <f>(Call!$C$1-Call!$A$1)/365</f>
        <v>0.12876712328767123</v>
      </c>
      <c r="D44">
        <v>0.47</v>
      </c>
      <c r="E44">
        <v>13.775</v>
      </c>
      <c r="F44">
        <v>2</v>
      </c>
      <c r="G44">
        <f t="shared" si="0"/>
        <v>1.8148820326678765</v>
      </c>
      <c r="H44">
        <f t="shared" si="1"/>
        <v>1</v>
      </c>
    </row>
    <row r="45" spans="1:8" x14ac:dyDescent="0.25">
      <c r="A45" s="2">
        <v>1</v>
      </c>
      <c r="B45">
        <v>26</v>
      </c>
      <c r="C45">
        <f>(Call!$C$1-Call!$A$1)/365</f>
        <v>0.12876712328767123</v>
      </c>
      <c r="D45">
        <v>0.42</v>
      </c>
      <c r="E45">
        <v>13.775</v>
      </c>
      <c r="F45">
        <v>2</v>
      </c>
      <c r="G45">
        <f t="shared" si="0"/>
        <v>1.8874773139745915</v>
      </c>
      <c r="H45">
        <f t="shared" si="1"/>
        <v>1</v>
      </c>
    </row>
    <row r="46" spans="1:8" x14ac:dyDescent="0.25">
      <c r="A46" s="2">
        <v>1</v>
      </c>
      <c r="B46">
        <v>27</v>
      </c>
      <c r="C46">
        <f>(Call!$C$1-Call!$A$1)/365</f>
        <v>0.12876712328767123</v>
      </c>
      <c r="D46">
        <v>0.38</v>
      </c>
      <c r="E46">
        <v>13.775</v>
      </c>
      <c r="F46">
        <v>2</v>
      </c>
      <c r="G46">
        <f t="shared" si="0"/>
        <v>1.9600725952813067</v>
      </c>
      <c r="H46">
        <f t="shared" si="1"/>
        <v>1</v>
      </c>
    </row>
    <row r="47" spans="1:8" x14ac:dyDescent="0.25">
      <c r="A47" s="2">
        <v>1</v>
      </c>
      <c r="B47">
        <v>28</v>
      </c>
      <c r="C47">
        <f>(Call!$C$1-Call!$A$1)/365</f>
        <v>0.12876712328767123</v>
      </c>
      <c r="D47">
        <v>0.35</v>
      </c>
      <c r="E47">
        <v>13.775</v>
      </c>
      <c r="F47">
        <v>2</v>
      </c>
      <c r="G47">
        <f t="shared" si="0"/>
        <v>2.0326678765880217</v>
      </c>
      <c r="H47">
        <f t="shared" si="1"/>
        <v>1</v>
      </c>
    </row>
    <row r="48" spans="1:8" x14ac:dyDescent="0.25">
      <c r="A48" s="2">
        <v>1</v>
      </c>
      <c r="B48">
        <v>29</v>
      </c>
      <c r="C48">
        <f>(Call!$C$1-Call!$A$1)/365</f>
        <v>0.12876712328767123</v>
      </c>
      <c r="D48">
        <v>0.3</v>
      </c>
      <c r="E48">
        <v>13.775</v>
      </c>
      <c r="F48">
        <v>2</v>
      </c>
      <c r="G48">
        <f t="shared" si="0"/>
        <v>2.1052631578947367</v>
      </c>
      <c r="H48">
        <f t="shared" si="1"/>
        <v>1</v>
      </c>
    </row>
    <row r="49" spans="1:8" x14ac:dyDescent="0.25">
      <c r="A49" s="2">
        <v>1</v>
      </c>
      <c r="B49">
        <v>30</v>
      </c>
      <c r="C49">
        <f>(Call!$C$1-Call!$A$1)/365</f>
        <v>0.12876712328767123</v>
      </c>
      <c r="D49">
        <v>0.3</v>
      </c>
      <c r="E49">
        <v>13.775</v>
      </c>
      <c r="F49">
        <v>2</v>
      </c>
      <c r="G49">
        <f t="shared" si="0"/>
        <v>2.1778584392014517</v>
      </c>
      <c r="H49">
        <f t="shared" si="1"/>
        <v>1</v>
      </c>
    </row>
    <row r="50" spans="1:8" x14ac:dyDescent="0.25">
      <c r="A50" s="2">
        <v>1</v>
      </c>
      <c r="B50">
        <v>35</v>
      </c>
      <c r="C50">
        <f>(Call!$C$1-Call!$A$1)/365</f>
        <v>0.12876712328767123</v>
      </c>
      <c r="D50">
        <v>0.2</v>
      </c>
      <c r="E50">
        <v>13.775</v>
      </c>
      <c r="F50">
        <v>2</v>
      </c>
      <c r="G50">
        <f t="shared" si="0"/>
        <v>2.5408348457350272</v>
      </c>
      <c r="H50">
        <f t="shared" si="1"/>
        <v>1</v>
      </c>
    </row>
    <row r="51" spans="1:8" x14ac:dyDescent="0.25">
      <c r="A51" s="2">
        <v>1</v>
      </c>
      <c r="B51">
        <v>40</v>
      </c>
      <c r="C51">
        <f>(Call!$C$1-Call!$A$1)/365</f>
        <v>0.12876712328767123</v>
      </c>
      <c r="D51">
        <v>0.13</v>
      </c>
      <c r="E51">
        <v>13.775</v>
      </c>
      <c r="F51">
        <v>2</v>
      </c>
      <c r="G51">
        <f t="shared" si="0"/>
        <v>2.9038112522686026</v>
      </c>
      <c r="H51">
        <f t="shared" si="1"/>
        <v>1</v>
      </c>
    </row>
    <row r="52" spans="1:8" x14ac:dyDescent="0.25">
      <c r="A52" s="2">
        <v>1</v>
      </c>
      <c r="B52">
        <v>45</v>
      </c>
      <c r="C52">
        <f>(Call!$C$1-Call!$A$1)/365</f>
        <v>0.12876712328767123</v>
      </c>
      <c r="D52">
        <v>0.1</v>
      </c>
      <c r="E52">
        <v>13.775</v>
      </c>
      <c r="F52">
        <v>2</v>
      </c>
      <c r="G52">
        <f t="shared" si="0"/>
        <v>3.2667876588021776</v>
      </c>
      <c r="H52">
        <f t="shared" si="1"/>
        <v>1</v>
      </c>
    </row>
    <row r="53" spans="1:8" x14ac:dyDescent="0.25">
      <c r="A53" s="2">
        <v>1</v>
      </c>
      <c r="B53">
        <v>50</v>
      </c>
      <c r="C53">
        <f>(Call!$C$1-Call!$A$1)/365</f>
        <v>0.12876712328767123</v>
      </c>
      <c r="D53">
        <v>0.08</v>
      </c>
      <c r="E53">
        <v>13.775</v>
      </c>
      <c r="F53">
        <v>2</v>
      </c>
      <c r="G53">
        <f t="shared" si="0"/>
        <v>3.629764065335753</v>
      </c>
      <c r="H53">
        <f t="shared" si="1"/>
        <v>1</v>
      </c>
    </row>
    <row r="54" spans="1:8" hidden="1" x14ac:dyDescent="0.25">
      <c r="A54" s="2">
        <v>1</v>
      </c>
      <c r="B54">
        <v>9</v>
      </c>
      <c r="C54">
        <f>(Call!$D$1-Call!$A$1)/365</f>
        <v>0.20547945205479451</v>
      </c>
      <c r="D54">
        <v>5.25</v>
      </c>
      <c r="E54">
        <v>14.25</v>
      </c>
      <c r="F54">
        <v>3</v>
      </c>
      <c r="G54">
        <f t="shared" si="0"/>
        <v>0.63157894736842102</v>
      </c>
      <c r="H54">
        <f t="shared" si="1"/>
        <v>0</v>
      </c>
    </row>
    <row r="55" spans="1:8" hidden="1" x14ac:dyDescent="0.25">
      <c r="A55" s="2">
        <v>1</v>
      </c>
      <c r="B55">
        <v>10</v>
      </c>
      <c r="C55">
        <f>(Call!$D$1-Call!$A$1)/365</f>
        <v>0.20547945205479451</v>
      </c>
      <c r="D55">
        <v>4.3499999999999996</v>
      </c>
      <c r="E55">
        <v>14.25</v>
      </c>
      <c r="F55">
        <v>3</v>
      </c>
      <c r="G55">
        <f t="shared" si="0"/>
        <v>0.70175438596491224</v>
      </c>
      <c r="H55">
        <f t="shared" si="1"/>
        <v>0</v>
      </c>
    </row>
    <row r="56" spans="1:8" hidden="1" x14ac:dyDescent="0.25">
      <c r="A56" s="2">
        <v>1</v>
      </c>
      <c r="B56">
        <v>11</v>
      </c>
      <c r="C56">
        <f>(Call!$D$1-Call!$A$1)/365</f>
        <v>0.20547945205479451</v>
      </c>
      <c r="D56">
        <v>3.5</v>
      </c>
      <c r="E56">
        <v>14.25</v>
      </c>
      <c r="F56">
        <v>3</v>
      </c>
      <c r="G56">
        <f t="shared" si="0"/>
        <v>0.77192982456140347</v>
      </c>
      <c r="H56">
        <f t="shared" si="1"/>
        <v>0</v>
      </c>
    </row>
    <row r="57" spans="1:8" hidden="1" x14ac:dyDescent="0.25">
      <c r="A57" s="2">
        <v>1</v>
      </c>
      <c r="B57">
        <v>12</v>
      </c>
      <c r="C57">
        <f>(Call!$D$1-Call!$A$1)/365</f>
        <v>0.20547945205479451</v>
      </c>
      <c r="D57">
        <v>2.92</v>
      </c>
      <c r="E57">
        <v>14.25</v>
      </c>
      <c r="F57">
        <v>3</v>
      </c>
      <c r="G57">
        <f t="shared" si="0"/>
        <v>0.84210526315789469</v>
      </c>
      <c r="H57">
        <f t="shared" si="1"/>
        <v>0</v>
      </c>
    </row>
    <row r="58" spans="1:8" hidden="1" x14ac:dyDescent="0.25">
      <c r="A58" s="2">
        <v>1</v>
      </c>
      <c r="B58">
        <v>13</v>
      </c>
      <c r="C58">
        <f>(Call!$D$1-Call!$A$1)/365</f>
        <v>0.20547945205479451</v>
      </c>
      <c r="D58">
        <v>2.48</v>
      </c>
      <c r="E58">
        <v>14.25</v>
      </c>
      <c r="F58">
        <v>3</v>
      </c>
      <c r="G58">
        <f t="shared" si="0"/>
        <v>0.91228070175438591</v>
      </c>
      <c r="H58">
        <f t="shared" si="1"/>
        <v>0</v>
      </c>
    </row>
    <row r="59" spans="1:8" hidden="1" x14ac:dyDescent="0.25">
      <c r="A59" s="2">
        <v>1</v>
      </c>
      <c r="B59">
        <v>14</v>
      </c>
      <c r="C59">
        <f>(Call!$D$1-Call!$A$1)/365</f>
        <v>0.20547945205479451</v>
      </c>
      <c r="D59">
        <v>2.13</v>
      </c>
      <c r="E59">
        <v>14.25</v>
      </c>
      <c r="F59">
        <v>3</v>
      </c>
      <c r="G59">
        <f t="shared" si="0"/>
        <v>0.98245614035087714</v>
      </c>
      <c r="H59">
        <f t="shared" si="1"/>
        <v>0</v>
      </c>
    </row>
    <row r="60" spans="1:8" x14ac:dyDescent="0.25">
      <c r="A60" s="2">
        <v>1</v>
      </c>
      <c r="B60">
        <v>15</v>
      </c>
      <c r="C60">
        <f>(Call!$D$1-Call!$A$1)/365</f>
        <v>0.20547945205479451</v>
      </c>
      <c r="D60">
        <v>1.85</v>
      </c>
      <c r="E60">
        <v>14.25</v>
      </c>
      <c r="F60">
        <v>3</v>
      </c>
      <c r="G60">
        <f t="shared" si="0"/>
        <v>1.0526315789473684</v>
      </c>
      <c r="H60">
        <f t="shared" si="1"/>
        <v>1</v>
      </c>
    </row>
    <row r="61" spans="1:8" x14ac:dyDescent="0.25">
      <c r="A61" s="2">
        <v>1</v>
      </c>
      <c r="B61">
        <v>16</v>
      </c>
      <c r="C61">
        <f>(Call!$D$1-Call!$A$1)/365</f>
        <v>0.20547945205479451</v>
      </c>
      <c r="D61">
        <v>1.63</v>
      </c>
      <c r="E61">
        <v>14.25</v>
      </c>
      <c r="F61">
        <v>3</v>
      </c>
      <c r="G61">
        <f t="shared" si="0"/>
        <v>1.1228070175438596</v>
      </c>
      <c r="H61">
        <f t="shared" si="1"/>
        <v>1</v>
      </c>
    </row>
    <row r="62" spans="1:8" x14ac:dyDescent="0.25">
      <c r="A62" s="2">
        <v>1</v>
      </c>
      <c r="B62">
        <v>17</v>
      </c>
      <c r="C62">
        <f>(Call!$D$1-Call!$A$1)/365</f>
        <v>0.20547945205479451</v>
      </c>
      <c r="D62">
        <v>1.45</v>
      </c>
      <c r="E62">
        <v>14.25</v>
      </c>
      <c r="F62">
        <v>3</v>
      </c>
      <c r="G62">
        <f t="shared" si="0"/>
        <v>1.1929824561403508</v>
      </c>
      <c r="H62">
        <f t="shared" si="1"/>
        <v>1</v>
      </c>
    </row>
    <row r="63" spans="1:8" x14ac:dyDescent="0.25">
      <c r="A63" s="2">
        <v>1</v>
      </c>
      <c r="B63">
        <v>18</v>
      </c>
      <c r="C63">
        <f>(Call!$D$1-Call!$A$1)/365</f>
        <v>0.20547945205479451</v>
      </c>
      <c r="D63">
        <v>1.3</v>
      </c>
      <c r="E63">
        <v>14.25</v>
      </c>
      <c r="F63">
        <v>3</v>
      </c>
      <c r="G63">
        <f t="shared" si="0"/>
        <v>1.263157894736842</v>
      </c>
      <c r="H63">
        <f t="shared" si="1"/>
        <v>1</v>
      </c>
    </row>
    <row r="64" spans="1:8" x14ac:dyDescent="0.25">
      <c r="A64" s="2">
        <v>1</v>
      </c>
      <c r="B64">
        <v>19</v>
      </c>
      <c r="C64">
        <f>(Call!$D$1-Call!$A$1)/365</f>
        <v>0.20547945205479451</v>
      </c>
      <c r="D64">
        <v>1.18</v>
      </c>
      <c r="E64">
        <v>14.25</v>
      </c>
      <c r="F64">
        <v>3</v>
      </c>
      <c r="G64">
        <f t="shared" si="0"/>
        <v>1.3333333333333333</v>
      </c>
      <c r="H64">
        <f t="shared" si="1"/>
        <v>1</v>
      </c>
    </row>
    <row r="65" spans="1:8" x14ac:dyDescent="0.25">
      <c r="A65" s="2">
        <v>1</v>
      </c>
      <c r="B65">
        <v>20</v>
      </c>
      <c r="C65">
        <f>(Call!$D$1-Call!$A$1)/365</f>
        <v>0.20547945205479451</v>
      </c>
      <c r="D65">
        <v>1.05</v>
      </c>
      <c r="E65">
        <v>14.25</v>
      </c>
      <c r="F65">
        <v>3</v>
      </c>
      <c r="G65">
        <f t="shared" si="0"/>
        <v>1.4035087719298245</v>
      </c>
      <c r="H65">
        <f t="shared" si="1"/>
        <v>1</v>
      </c>
    </row>
    <row r="66" spans="1:8" x14ac:dyDescent="0.25">
      <c r="A66" s="2">
        <v>1</v>
      </c>
      <c r="B66">
        <v>21</v>
      </c>
      <c r="C66">
        <f>(Call!$D$1-Call!$A$1)/365</f>
        <v>0.20547945205479451</v>
      </c>
      <c r="D66">
        <v>0.95</v>
      </c>
      <c r="E66">
        <v>14.25</v>
      </c>
      <c r="F66">
        <v>3</v>
      </c>
      <c r="G66">
        <f t="shared" si="0"/>
        <v>1.4736842105263157</v>
      </c>
      <c r="H66">
        <f t="shared" si="1"/>
        <v>1</v>
      </c>
    </row>
    <row r="67" spans="1:8" x14ac:dyDescent="0.25">
      <c r="A67" s="2">
        <v>1</v>
      </c>
      <c r="B67">
        <v>22</v>
      </c>
      <c r="C67">
        <f>(Call!$D$1-Call!$A$1)/365</f>
        <v>0.20547945205479451</v>
      </c>
      <c r="D67">
        <v>0.85</v>
      </c>
      <c r="E67">
        <v>14.25</v>
      </c>
      <c r="F67">
        <v>3</v>
      </c>
      <c r="G67">
        <f t="shared" ref="G67:G130" si="2">B67/E67</f>
        <v>1.5438596491228069</v>
      </c>
      <c r="H67">
        <f t="shared" ref="H67:H130" si="3">IF(A67=1,IF(E67&gt;B67,0,1),IF(E67&gt;B67,1,0))</f>
        <v>1</v>
      </c>
    </row>
    <row r="68" spans="1:8" x14ac:dyDescent="0.25">
      <c r="A68" s="2">
        <v>1</v>
      </c>
      <c r="B68">
        <v>23</v>
      </c>
      <c r="C68">
        <f>(Call!$D$1-Call!$A$1)/365</f>
        <v>0.20547945205479451</v>
      </c>
      <c r="D68">
        <v>0.8</v>
      </c>
      <c r="E68">
        <v>14.25</v>
      </c>
      <c r="F68">
        <v>3</v>
      </c>
      <c r="G68">
        <f t="shared" si="2"/>
        <v>1.6140350877192982</v>
      </c>
      <c r="H68">
        <f t="shared" si="3"/>
        <v>1</v>
      </c>
    </row>
    <row r="69" spans="1:8" x14ac:dyDescent="0.25">
      <c r="A69" s="2">
        <v>1</v>
      </c>
      <c r="B69">
        <v>24</v>
      </c>
      <c r="C69">
        <f>(Call!$D$1-Call!$A$1)/365</f>
        <v>0.20547945205479451</v>
      </c>
      <c r="D69">
        <v>0.72</v>
      </c>
      <c r="E69">
        <v>14.25</v>
      </c>
      <c r="F69">
        <v>3</v>
      </c>
      <c r="G69">
        <f t="shared" si="2"/>
        <v>1.6842105263157894</v>
      </c>
      <c r="H69">
        <f t="shared" si="3"/>
        <v>1</v>
      </c>
    </row>
    <row r="70" spans="1:8" x14ac:dyDescent="0.25">
      <c r="A70" s="2">
        <v>1</v>
      </c>
      <c r="B70">
        <v>25</v>
      </c>
      <c r="C70">
        <f>(Call!$D$1-Call!$A$1)/365</f>
        <v>0.20547945205479451</v>
      </c>
      <c r="D70">
        <v>0.67</v>
      </c>
      <c r="E70">
        <v>14.25</v>
      </c>
      <c r="F70">
        <v>3</v>
      </c>
      <c r="G70">
        <f t="shared" si="2"/>
        <v>1.7543859649122806</v>
      </c>
      <c r="H70">
        <f t="shared" si="3"/>
        <v>1</v>
      </c>
    </row>
    <row r="71" spans="1:8" x14ac:dyDescent="0.25">
      <c r="A71" s="2">
        <v>1</v>
      </c>
      <c r="B71">
        <v>26</v>
      </c>
      <c r="C71">
        <f>(Call!$D$1-Call!$A$1)/365</f>
        <v>0.20547945205479451</v>
      </c>
      <c r="D71">
        <v>0.6</v>
      </c>
      <c r="E71">
        <v>14.25</v>
      </c>
      <c r="F71">
        <v>3</v>
      </c>
      <c r="G71">
        <f t="shared" si="2"/>
        <v>1.8245614035087718</v>
      </c>
      <c r="H71">
        <f t="shared" si="3"/>
        <v>1</v>
      </c>
    </row>
    <row r="72" spans="1:8" x14ac:dyDescent="0.25">
      <c r="A72" s="2">
        <v>1</v>
      </c>
      <c r="B72">
        <v>27</v>
      </c>
      <c r="C72">
        <f>(Call!$D$1-Call!$A$1)/365</f>
        <v>0.20547945205479451</v>
      </c>
      <c r="D72">
        <v>0.55000000000000004</v>
      </c>
      <c r="E72">
        <v>14.25</v>
      </c>
      <c r="F72">
        <v>3</v>
      </c>
      <c r="G72">
        <f t="shared" si="2"/>
        <v>1.8947368421052631</v>
      </c>
      <c r="H72">
        <f t="shared" si="3"/>
        <v>1</v>
      </c>
    </row>
    <row r="73" spans="1:8" x14ac:dyDescent="0.25">
      <c r="A73" s="2">
        <v>1</v>
      </c>
      <c r="B73">
        <v>28</v>
      </c>
      <c r="C73">
        <f>(Call!$D$1-Call!$A$1)/365</f>
        <v>0.20547945205479451</v>
      </c>
      <c r="D73">
        <v>0.53</v>
      </c>
      <c r="E73">
        <v>14.25</v>
      </c>
      <c r="F73">
        <v>3</v>
      </c>
      <c r="G73">
        <f t="shared" si="2"/>
        <v>1.9649122807017543</v>
      </c>
      <c r="H73">
        <f t="shared" si="3"/>
        <v>1</v>
      </c>
    </row>
    <row r="74" spans="1:8" x14ac:dyDescent="0.25">
      <c r="A74" s="2">
        <v>1</v>
      </c>
      <c r="B74">
        <v>29</v>
      </c>
      <c r="C74">
        <f>(Call!$D$1-Call!$A$1)/365</f>
        <v>0.20547945205479451</v>
      </c>
      <c r="D74">
        <v>0.5</v>
      </c>
      <c r="E74">
        <v>14.25</v>
      </c>
      <c r="F74">
        <v>3</v>
      </c>
      <c r="G74">
        <f t="shared" si="2"/>
        <v>2.0350877192982457</v>
      </c>
      <c r="H74">
        <f t="shared" si="3"/>
        <v>1</v>
      </c>
    </row>
    <row r="75" spans="1:8" x14ac:dyDescent="0.25">
      <c r="A75" s="2">
        <v>1</v>
      </c>
      <c r="B75">
        <v>30</v>
      </c>
      <c r="C75">
        <f>(Call!$D$1-Call!$A$1)/365</f>
        <v>0.20547945205479451</v>
      </c>
      <c r="D75">
        <v>0.47</v>
      </c>
      <c r="E75">
        <v>14.25</v>
      </c>
      <c r="F75">
        <v>3</v>
      </c>
      <c r="G75">
        <f t="shared" si="2"/>
        <v>2.1052631578947367</v>
      </c>
      <c r="H75">
        <f t="shared" si="3"/>
        <v>1</v>
      </c>
    </row>
    <row r="76" spans="1:8" x14ac:dyDescent="0.25">
      <c r="A76" s="2">
        <v>1</v>
      </c>
      <c r="B76">
        <v>35</v>
      </c>
      <c r="C76">
        <f>(Call!$D$1-Call!$A$1)/365</f>
        <v>0.20547945205479451</v>
      </c>
      <c r="D76">
        <v>0.33</v>
      </c>
      <c r="E76">
        <v>14.25</v>
      </c>
      <c r="F76">
        <v>3</v>
      </c>
      <c r="G76">
        <f t="shared" si="2"/>
        <v>2.4561403508771931</v>
      </c>
      <c r="H76">
        <f t="shared" si="3"/>
        <v>1</v>
      </c>
    </row>
    <row r="77" spans="1:8" x14ac:dyDescent="0.25">
      <c r="A77" s="2">
        <v>1</v>
      </c>
      <c r="B77">
        <v>40</v>
      </c>
      <c r="C77">
        <f>(Call!$D$1-Call!$A$1)/365</f>
        <v>0.20547945205479451</v>
      </c>
      <c r="D77">
        <v>0.23</v>
      </c>
      <c r="E77">
        <v>14.25</v>
      </c>
      <c r="F77">
        <v>3</v>
      </c>
      <c r="G77">
        <f t="shared" si="2"/>
        <v>2.807017543859649</v>
      </c>
      <c r="H77">
        <f t="shared" si="3"/>
        <v>1</v>
      </c>
    </row>
    <row r="78" spans="1:8" x14ac:dyDescent="0.25">
      <c r="A78" s="2">
        <v>1</v>
      </c>
      <c r="B78">
        <v>45</v>
      </c>
      <c r="C78">
        <f>(Call!$D$1-Call!$A$1)/365</f>
        <v>0.20547945205479451</v>
      </c>
      <c r="D78">
        <v>0.18</v>
      </c>
      <c r="E78">
        <v>14.25</v>
      </c>
      <c r="F78">
        <v>3</v>
      </c>
      <c r="G78">
        <f t="shared" si="2"/>
        <v>3.1578947368421053</v>
      </c>
      <c r="H78">
        <f t="shared" si="3"/>
        <v>1</v>
      </c>
    </row>
    <row r="79" spans="1:8" x14ac:dyDescent="0.25">
      <c r="A79" s="2">
        <v>1</v>
      </c>
      <c r="B79">
        <v>50</v>
      </c>
      <c r="C79">
        <f>(Call!$D$1-Call!$A$1)/365</f>
        <v>0.20547945205479451</v>
      </c>
      <c r="D79">
        <v>0.13</v>
      </c>
      <c r="E79">
        <v>14.25</v>
      </c>
      <c r="F79">
        <v>3</v>
      </c>
      <c r="G79">
        <f t="shared" si="2"/>
        <v>3.5087719298245612</v>
      </c>
      <c r="H79">
        <f t="shared" si="3"/>
        <v>1</v>
      </c>
    </row>
    <row r="80" spans="1:8" hidden="1" x14ac:dyDescent="0.25">
      <c r="A80" s="2">
        <v>1</v>
      </c>
      <c r="B80">
        <v>9</v>
      </c>
      <c r="C80">
        <f>(Call!$E$1-Call!$A$1)/365</f>
        <v>0.30136986301369861</v>
      </c>
      <c r="D80">
        <v>5.45</v>
      </c>
      <c r="E80">
        <v>14.425000000000001</v>
      </c>
      <c r="F80">
        <v>4</v>
      </c>
      <c r="G80">
        <f t="shared" si="2"/>
        <v>0.62391681109185437</v>
      </c>
      <c r="H80">
        <f t="shared" si="3"/>
        <v>0</v>
      </c>
    </row>
    <row r="81" spans="1:8" hidden="1" x14ac:dyDescent="0.25">
      <c r="A81" s="2">
        <v>1</v>
      </c>
      <c r="B81">
        <v>10</v>
      </c>
      <c r="C81">
        <f>(Call!$E$1-Call!$A$1)/365</f>
        <v>0.30136986301369861</v>
      </c>
      <c r="D81">
        <v>4.5</v>
      </c>
      <c r="E81">
        <v>14.425000000000001</v>
      </c>
      <c r="F81">
        <v>4</v>
      </c>
      <c r="G81">
        <f t="shared" si="2"/>
        <v>0.6932409012131715</v>
      </c>
      <c r="H81">
        <f t="shared" si="3"/>
        <v>0</v>
      </c>
    </row>
    <row r="82" spans="1:8" hidden="1" x14ac:dyDescent="0.25">
      <c r="A82" s="2">
        <v>1</v>
      </c>
      <c r="B82">
        <v>11</v>
      </c>
      <c r="C82">
        <f>(Call!$E$1-Call!$A$1)/365</f>
        <v>0.30136986301369861</v>
      </c>
      <c r="D82">
        <v>3.8</v>
      </c>
      <c r="E82">
        <v>14.425000000000001</v>
      </c>
      <c r="F82">
        <v>4</v>
      </c>
      <c r="G82">
        <f t="shared" si="2"/>
        <v>0.76256499133448874</v>
      </c>
      <c r="H82">
        <f t="shared" si="3"/>
        <v>0</v>
      </c>
    </row>
    <row r="83" spans="1:8" hidden="1" x14ac:dyDescent="0.25">
      <c r="A83" s="2">
        <v>1</v>
      </c>
      <c r="B83">
        <v>12</v>
      </c>
      <c r="C83">
        <f>(Call!$E$1-Call!$A$1)/365</f>
        <v>0.30136986301369861</v>
      </c>
      <c r="D83">
        <v>3.2</v>
      </c>
      <c r="E83">
        <v>14.425000000000001</v>
      </c>
      <c r="F83">
        <v>4</v>
      </c>
      <c r="G83">
        <f t="shared" si="2"/>
        <v>0.83188908145580587</v>
      </c>
      <c r="H83">
        <f t="shared" si="3"/>
        <v>0</v>
      </c>
    </row>
    <row r="84" spans="1:8" hidden="1" x14ac:dyDescent="0.25">
      <c r="A84" s="2">
        <v>1</v>
      </c>
      <c r="B84">
        <v>13</v>
      </c>
      <c r="C84">
        <f>(Call!$E$1-Call!$A$1)/365</f>
        <v>0.30136986301369861</v>
      </c>
      <c r="D84">
        <v>2.75</v>
      </c>
      <c r="E84">
        <v>14.425000000000001</v>
      </c>
      <c r="F84">
        <v>4</v>
      </c>
      <c r="G84">
        <f t="shared" si="2"/>
        <v>0.901213171577123</v>
      </c>
      <c r="H84">
        <f t="shared" si="3"/>
        <v>0</v>
      </c>
    </row>
    <row r="85" spans="1:8" hidden="1" x14ac:dyDescent="0.25">
      <c r="A85" s="2">
        <v>1</v>
      </c>
      <c r="B85">
        <v>14</v>
      </c>
      <c r="C85">
        <f>(Call!$E$1-Call!$A$1)/365</f>
        <v>0.30136986301369861</v>
      </c>
      <c r="D85">
        <v>2.38</v>
      </c>
      <c r="E85">
        <v>14.425000000000001</v>
      </c>
      <c r="F85">
        <v>4</v>
      </c>
      <c r="G85">
        <f t="shared" si="2"/>
        <v>0.97053726169844012</v>
      </c>
      <c r="H85">
        <f t="shared" si="3"/>
        <v>0</v>
      </c>
    </row>
    <row r="86" spans="1:8" x14ac:dyDescent="0.25">
      <c r="A86" s="2">
        <v>1</v>
      </c>
      <c r="B86">
        <v>15</v>
      </c>
      <c r="C86">
        <f>(Call!$E$1-Call!$A$1)/365</f>
        <v>0.30136986301369861</v>
      </c>
      <c r="D86">
        <v>2.0699999999999998</v>
      </c>
      <c r="E86">
        <v>14.425000000000001</v>
      </c>
      <c r="F86">
        <v>4</v>
      </c>
      <c r="G86">
        <f t="shared" si="2"/>
        <v>1.0398613518197573</v>
      </c>
      <c r="H86">
        <f t="shared" si="3"/>
        <v>1</v>
      </c>
    </row>
    <row r="87" spans="1:8" x14ac:dyDescent="0.25">
      <c r="A87" s="2">
        <v>1</v>
      </c>
      <c r="B87">
        <v>16</v>
      </c>
      <c r="C87">
        <f>(Call!$E$1-Call!$A$1)/365</f>
        <v>0.30136986301369861</v>
      </c>
      <c r="D87">
        <v>1.85</v>
      </c>
      <c r="E87">
        <v>14.425000000000001</v>
      </c>
      <c r="F87">
        <v>4</v>
      </c>
      <c r="G87">
        <f t="shared" si="2"/>
        <v>1.1091854419410745</v>
      </c>
      <c r="H87">
        <f t="shared" si="3"/>
        <v>1</v>
      </c>
    </row>
    <row r="88" spans="1:8" x14ac:dyDescent="0.25">
      <c r="A88" s="2">
        <v>1</v>
      </c>
      <c r="B88">
        <v>17</v>
      </c>
      <c r="C88">
        <f>(Call!$E$1-Call!$A$1)/365</f>
        <v>0.30136986301369861</v>
      </c>
      <c r="D88">
        <v>1.65</v>
      </c>
      <c r="E88">
        <v>14.425000000000001</v>
      </c>
      <c r="F88">
        <v>4</v>
      </c>
      <c r="G88">
        <f t="shared" si="2"/>
        <v>1.1785095320623917</v>
      </c>
      <c r="H88">
        <f t="shared" si="3"/>
        <v>1</v>
      </c>
    </row>
    <row r="89" spans="1:8" x14ac:dyDescent="0.25">
      <c r="A89" s="2">
        <v>1</v>
      </c>
      <c r="B89">
        <v>18</v>
      </c>
      <c r="C89">
        <f>(Call!$E$1-Call!$A$1)/365</f>
        <v>0.30136986301369861</v>
      </c>
      <c r="D89">
        <v>1.47</v>
      </c>
      <c r="E89">
        <v>14.425000000000001</v>
      </c>
      <c r="F89">
        <v>4</v>
      </c>
      <c r="G89">
        <f t="shared" si="2"/>
        <v>1.2478336221837087</v>
      </c>
      <c r="H89">
        <f t="shared" si="3"/>
        <v>1</v>
      </c>
    </row>
    <row r="90" spans="1:8" x14ac:dyDescent="0.25">
      <c r="A90" s="2">
        <v>1</v>
      </c>
      <c r="B90">
        <v>19</v>
      </c>
      <c r="C90">
        <f>(Call!$E$1-Call!$A$1)/365</f>
        <v>0.30136986301369861</v>
      </c>
      <c r="D90">
        <v>1.35</v>
      </c>
      <c r="E90">
        <v>14.425000000000001</v>
      </c>
      <c r="F90">
        <v>4</v>
      </c>
      <c r="G90">
        <f t="shared" si="2"/>
        <v>1.317157712305026</v>
      </c>
      <c r="H90">
        <f t="shared" si="3"/>
        <v>1</v>
      </c>
    </row>
    <row r="91" spans="1:8" x14ac:dyDescent="0.25">
      <c r="A91" s="2">
        <v>1</v>
      </c>
      <c r="B91">
        <v>20</v>
      </c>
      <c r="C91">
        <f>(Call!$E$1-Call!$A$1)/365</f>
        <v>0.30136986301369861</v>
      </c>
      <c r="D91">
        <v>1.2</v>
      </c>
      <c r="E91">
        <v>14.425000000000001</v>
      </c>
      <c r="F91">
        <v>4</v>
      </c>
      <c r="G91">
        <f t="shared" si="2"/>
        <v>1.386481802426343</v>
      </c>
      <c r="H91">
        <f t="shared" si="3"/>
        <v>1</v>
      </c>
    </row>
    <row r="92" spans="1:8" x14ac:dyDescent="0.25">
      <c r="A92" s="2">
        <v>1</v>
      </c>
      <c r="B92">
        <v>21</v>
      </c>
      <c r="C92">
        <f>(Call!$E$1-Call!$A$1)/365</f>
        <v>0.30136986301369861</v>
      </c>
      <c r="D92">
        <v>1.1000000000000001</v>
      </c>
      <c r="E92">
        <v>14.425000000000001</v>
      </c>
      <c r="F92">
        <v>4</v>
      </c>
      <c r="G92">
        <f t="shared" si="2"/>
        <v>1.4558058925476602</v>
      </c>
      <c r="H92">
        <f t="shared" si="3"/>
        <v>1</v>
      </c>
    </row>
    <row r="93" spans="1:8" x14ac:dyDescent="0.25">
      <c r="A93" s="2">
        <v>1</v>
      </c>
      <c r="B93">
        <v>22</v>
      </c>
      <c r="C93">
        <f>(Call!$E$1-Call!$A$1)/365</f>
        <v>0.30136986301369861</v>
      </c>
      <c r="D93">
        <v>1</v>
      </c>
      <c r="E93">
        <v>14.425000000000001</v>
      </c>
      <c r="F93">
        <v>4</v>
      </c>
      <c r="G93">
        <f t="shared" si="2"/>
        <v>1.5251299826689775</v>
      </c>
      <c r="H93">
        <f t="shared" si="3"/>
        <v>1</v>
      </c>
    </row>
    <row r="94" spans="1:8" x14ac:dyDescent="0.25">
      <c r="A94" s="2">
        <v>1</v>
      </c>
      <c r="B94">
        <v>23</v>
      </c>
      <c r="C94">
        <f>(Call!$E$1-Call!$A$1)/365</f>
        <v>0.30136986301369861</v>
      </c>
      <c r="D94">
        <v>0.9</v>
      </c>
      <c r="E94">
        <v>14.425000000000001</v>
      </c>
      <c r="F94">
        <v>4</v>
      </c>
      <c r="G94">
        <f t="shared" si="2"/>
        <v>1.5944540727902945</v>
      </c>
      <c r="H94">
        <f t="shared" si="3"/>
        <v>1</v>
      </c>
    </row>
    <row r="95" spans="1:8" x14ac:dyDescent="0.25">
      <c r="A95" s="2">
        <v>1</v>
      </c>
      <c r="B95">
        <v>24</v>
      </c>
      <c r="C95">
        <f>(Call!$E$1-Call!$A$1)/365</f>
        <v>0.30136986301369861</v>
      </c>
      <c r="D95">
        <v>0.83</v>
      </c>
      <c r="E95">
        <v>14.425000000000001</v>
      </c>
      <c r="F95">
        <v>4</v>
      </c>
      <c r="G95">
        <f t="shared" si="2"/>
        <v>1.6637781629116117</v>
      </c>
      <c r="H95">
        <f t="shared" si="3"/>
        <v>1</v>
      </c>
    </row>
    <row r="96" spans="1:8" x14ac:dyDescent="0.25">
      <c r="A96" s="2">
        <v>1</v>
      </c>
      <c r="B96">
        <v>25</v>
      </c>
      <c r="C96">
        <f>(Call!$E$1-Call!$A$1)/365</f>
        <v>0.30136986301369861</v>
      </c>
      <c r="D96">
        <v>0.75</v>
      </c>
      <c r="E96">
        <v>14.425000000000001</v>
      </c>
      <c r="F96">
        <v>4</v>
      </c>
      <c r="G96">
        <f t="shared" si="2"/>
        <v>1.7331022530329288</v>
      </c>
      <c r="H96">
        <f t="shared" si="3"/>
        <v>1</v>
      </c>
    </row>
    <row r="97" spans="1:13" x14ac:dyDescent="0.25">
      <c r="A97" s="2">
        <v>1</v>
      </c>
      <c r="B97">
        <v>26</v>
      </c>
      <c r="C97">
        <f>(Call!$E$1-Call!$A$1)/365</f>
        <v>0.30136986301369861</v>
      </c>
      <c r="D97">
        <v>0.7</v>
      </c>
      <c r="E97">
        <v>14.425000000000001</v>
      </c>
      <c r="F97">
        <v>4</v>
      </c>
      <c r="G97">
        <f t="shared" si="2"/>
        <v>1.802426343154246</v>
      </c>
      <c r="H97">
        <f t="shared" si="3"/>
        <v>1</v>
      </c>
    </row>
    <row r="98" spans="1:13" x14ac:dyDescent="0.25">
      <c r="A98" s="2">
        <v>1</v>
      </c>
      <c r="B98">
        <v>27</v>
      </c>
      <c r="C98">
        <f>(Call!$E$1-Call!$A$1)/365</f>
        <v>0.30136986301369861</v>
      </c>
      <c r="D98">
        <v>0.65</v>
      </c>
      <c r="E98">
        <v>14.425000000000001</v>
      </c>
      <c r="F98">
        <v>4</v>
      </c>
      <c r="G98">
        <f t="shared" si="2"/>
        <v>1.8717504332755632</v>
      </c>
      <c r="H98">
        <f t="shared" si="3"/>
        <v>1</v>
      </c>
    </row>
    <row r="99" spans="1:13" x14ac:dyDescent="0.25">
      <c r="A99" s="2">
        <v>1</v>
      </c>
      <c r="B99">
        <v>28</v>
      </c>
      <c r="C99">
        <f>(Call!$E$1-Call!$A$1)/365</f>
        <v>0.30136986301369861</v>
      </c>
      <c r="D99">
        <v>0.6</v>
      </c>
      <c r="E99">
        <v>14.425000000000001</v>
      </c>
      <c r="F99">
        <v>4</v>
      </c>
      <c r="G99">
        <f t="shared" si="2"/>
        <v>1.9410745233968802</v>
      </c>
      <c r="H99">
        <f t="shared" si="3"/>
        <v>1</v>
      </c>
    </row>
    <row r="100" spans="1:13" x14ac:dyDescent="0.25">
      <c r="A100" s="2">
        <v>1</v>
      </c>
      <c r="B100">
        <v>29</v>
      </c>
      <c r="C100">
        <f>(Call!$E$1-Call!$A$1)/365</f>
        <v>0.30136986301369861</v>
      </c>
      <c r="D100">
        <v>0.55000000000000004</v>
      </c>
      <c r="E100">
        <v>14.425000000000001</v>
      </c>
      <c r="F100">
        <v>4</v>
      </c>
      <c r="G100">
        <f t="shared" si="2"/>
        <v>2.0103986135181975</v>
      </c>
      <c r="H100">
        <f t="shared" si="3"/>
        <v>1</v>
      </c>
    </row>
    <row r="101" spans="1:13" x14ac:dyDescent="0.25">
      <c r="A101" s="2">
        <v>1</v>
      </c>
      <c r="B101">
        <v>30</v>
      </c>
      <c r="C101">
        <f>(Call!$E$1-Call!$A$1)/365</f>
        <v>0.30136986301369861</v>
      </c>
      <c r="D101">
        <v>0.5</v>
      </c>
      <c r="E101">
        <v>14.425000000000001</v>
      </c>
      <c r="F101">
        <v>4</v>
      </c>
      <c r="G101">
        <f t="shared" si="2"/>
        <v>2.0797227036395145</v>
      </c>
      <c r="H101">
        <f t="shared" si="3"/>
        <v>1</v>
      </c>
    </row>
    <row r="102" spans="1:13" x14ac:dyDescent="0.25">
      <c r="A102" s="2">
        <v>1</v>
      </c>
      <c r="B102">
        <v>35</v>
      </c>
      <c r="C102">
        <f>(Call!$E$1-Call!$A$1)/365</f>
        <v>0.30136986301369861</v>
      </c>
      <c r="D102">
        <v>0.35</v>
      </c>
      <c r="E102">
        <v>14.425000000000001</v>
      </c>
      <c r="F102">
        <v>4</v>
      </c>
      <c r="G102">
        <f t="shared" si="2"/>
        <v>2.4263431542461005</v>
      </c>
      <c r="H102">
        <f t="shared" si="3"/>
        <v>1</v>
      </c>
    </row>
    <row r="103" spans="1:13" x14ac:dyDescent="0.25">
      <c r="A103" s="2">
        <v>1</v>
      </c>
      <c r="B103">
        <v>40</v>
      </c>
      <c r="C103">
        <f>(Call!$E$1-Call!$A$1)/365</f>
        <v>0.30136986301369861</v>
      </c>
      <c r="D103">
        <v>0.28000000000000003</v>
      </c>
      <c r="E103">
        <v>14.425000000000001</v>
      </c>
      <c r="F103">
        <v>4</v>
      </c>
      <c r="G103">
        <f t="shared" si="2"/>
        <v>2.772963604852686</v>
      </c>
      <c r="H103">
        <f t="shared" si="3"/>
        <v>1</v>
      </c>
    </row>
    <row r="104" spans="1:13" x14ac:dyDescent="0.25">
      <c r="A104" s="2">
        <v>1</v>
      </c>
      <c r="B104">
        <v>45</v>
      </c>
      <c r="C104">
        <f>(Call!$E$1-Call!$A$1)/365</f>
        <v>0.30136986301369861</v>
      </c>
      <c r="D104">
        <v>0.2</v>
      </c>
      <c r="E104">
        <v>14.425000000000001</v>
      </c>
      <c r="F104">
        <v>4</v>
      </c>
      <c r="G104">
        <f t="shared" si="2"/>
        <v>3.119584055459272</v>
      </c>
      <c r="H104">
        <f t="shared" si="3"/>
        <v>1</v>
      </c>
    </row>
    <row r="105" spans="1:13" x14ac:dyDescent="0.25">
      <c r="A105" s="2">
        <v>1</v>
      </c>
      <c r="B105">
        <v>50</v>
      </c>
      <c r="C105">
        <f>(Call!$E$1-Call!$A$1)/365</f>
        <v>0.30136986301369861</v>
      </c>
      <c r="D105">
        <v>0.15</v>
      </c>
      <c r="E105">
        <v>14.425000000000001</v>
      </c>
      <c r="F105">
        <v>4</v>
      </c>
      <c r="G105">
        <f t="shared" si="2"/>
        <v>3.4662045060658575</v>
      </c>
      <c r="H105">
        <f t="shared" si="3"/>
        <v>1</v>
      </c>
    </row>
    <row r="106" spans="1:13" hidden="1" x14ac:dyDescent="0.25">
      <c r="A106" s="2">
        <v>1</v>
      </c>
      <c r="B106">
        <v>9</v>
      </c>
      <c r="C106">
        <f>(Call!$F$1-Call!$A$1)/365</f>
        <v>0.37808219178082192</v>
      </c>
      <c r="D106">
        <v>6.5</v>
      </c>
      <c r="E106">
        <v>15.525</v>
      </c>
      <c r="F106">
        <v>5</v>
      </c>
      <c r="G106">
        <f t="shared" si="2"/>
        <v>0.57971014492753625</v>
      </c>
      <c r="H106">
        <f t="shared" si="3"/>
        <v>0</v>
      </c>
    </row>
    <row r="107" spans="1:13" hidden="1" x14ac:dyDescent="0.25">
      <c r="A107" s="2">
        <v>1</v>
      </c>
      <c r="B107">
        <v>10</v>
      </c>
      <c r="C107">
        <f>(Call!$F$1-Call!$A$1)/365</f>
        <v>0.37808219178082192</v>
      </c>
      <c r="D107">
        <v>5.6</v>
      </c>
      <c r="E107">
        <v>15.525</v>
      </c>
      <c r="F107">
        <v>5</v>
      </c>
      <c r="G107">
        <f t="shared" si="2"/>
        <v>0.64412238325281801</v>
      </c>
      <c r="H107">
        <f t="shared" si="3"/>
        <v>0</v>
      </c>
    </row>
    <row r="108" spans="1:13" hidden="1" x14ac:dyDescent="0.25">
      <c r="A108" s="2">
        <v>1</v>
      </c>
      <c r="B108">
        <v>11</v>
      </c>
      <c r="C108">
        <f>(Call!$F$1-Call!$A$1)/365</f>
        <v>0.37808219178082192</v>
      </c>
      <c r="D108">
        <v>4.8</v>
      </c>
      <c r="E108">
        <v>15.525</v>
      </c>
      <c r="F108">
        <v>5</v>
      </c>
      <c r="G108">
        <f t="shared" si="2"/>
        <v>0.70853462157809988</v>
      </c>
      <c r="H108">
        <f t="shared" si="3"/>
        <v>0</v>
      </c>
    </row>
    <row r="109" spans="1:13" hidden="1" x14ac:dyDescent="0.25">
      <c r="A109" s="2">
        <v>1</v>
      </c>
      <c r="B109">
        <v>12</v>
      </c>
      <c r="C109">
        <f>(Call!$F$1-Call!$A$1)/365</f>
        <v>0.37808219178082192</v>
      </c>
      <c r="D109">
        <v>4.0999999999999996</v>
      </c>
      <c r="E109">
        <v>15.525</v>
      </c>
      <c r="F109">
        <v>5</v>
      </c>
      <c r="G109">
        <f t="shared" si="2"/>
        <v>0.77294685990338163</v>
      </c>
      <c r="H109">
        <f t="shared" si="3"/>
        <v>0</v>
      </c>
    </row>
    <row r="110" spans="1:13" hidden="1" x14ac:dyDescent="0.25">
      <c r="A110" s="2">
        <v>1</v>
      </c>
      <c r="B110">
        <v>13</v>
      </c>
      <c r="C110">
        <f>(Call!$F$1-Call!$A$1)/365</f>
        <v>0.37808219178082192</v>
      </c>
      <c r="D110">
        <v>3.6</v>
      </c>
      <c r="E110">
        <v>15.525</v>
      </c>
      <c r="F110">
        <v>5</v>
      </c>
      <c r="G110">
        <f t="shared" si="2"/>
        <v>0.83735909822866339</v>
      </c>
      <c r="H110">
        <f t="shared" si="3"/>
        <v>0</v>
      </c>
    </row>
    <row r="111" spans="1:13" hidden="1" x14ac:dyDescent="0.25">
      <c r="A111" s="2">
        <v>1</v>
      </c>
      <c r="B111">
        <v>14</v>
      </c>
      <c r="C111">
        <f>(Call!$F$1-Call!$A$1)/365</f>
        <v>0.37808219178082192</v>
      </c>
      <c r="D111">
        <v>3.1</v>
      </c>
      <c r="E111">
        <v>15.525</v>
      </c>
      <c r="F111">
        <v>5</v>
      </c>
      <c r="G111">
        <f t="shared" si="2"/>
        <v>0.90177133655394526</v>
      </c>
      <c r="H111">
        <f t="shared" si="3"/>
        <v>0</v>
      </c>
    </row>
    <row r="112" spans="1:13" hidden="1" x14ac:dyDescent="0.25">
      <c r="A112" s="2">
        <v>1</v>
      </c>
      <c r="B112">
        <v>15</v>
      </c>
      <c r="C112">
        <f>(Call!$F$1-Call!$A$1)/365</f>
        <v>0.37808219178082192</v>
      </c>
      <c r="D112">
        <v>2.75</v>
      </c>
      <c r="E112">
        <v>15.525</v>
      </c>
      <c r="F112">
        <v>5</v>
      </c>
      <c r="G112">
        <f t="shared" si="2"/>
        <v>0.96618357487922701</v>
      </c>
      <c r="H112">
        <f t="shared" si="3"/>
        <v>0</v>
      </c>
      <c r="M112" s="2"/>
    </row>
    <row r="113" spans="1:8" x14ac:dyDescent="0.25">
      <c r="A113" s="2">
        <v>1</v>
      </c>
      <c r="B113">
        <v>16</v>
      </c>
      <c r="C113">
        <f>(Call!$F$1-Call!$A$1)/365</f>
        <v>0.37808219178082192</v>
      </c>
      <c r="D113">
        <v>2.4500000000000002</v>
      </c>
      <c r="E113">
        <v>15.525</v>
      </c>
      <c r="F113">
        <v>5</v>
      </c>
      <c r="G113">
        <f t="shared" si="2"/>
        <v>1.0305958132045088</v>
      </c>
      <c r="H113">
        <f t="shared" si="3"/>
        <v>1</v>
      </c>
    </row>
    <row r="114" spans="1:8" x14ac:dyDescent="0.25">
      <c r="A114" s="2">
        <v>1</v>
      </c>
      <c r="B114">
        <v>17</v>
      </c>
      <c r="C114">
        <f>(Call!$F$1-Call!$A$1)/365</f>
        <v>0.37808219178082192</v>
      </c>
      <c r="D114">
        <v>2.17</v>
      </c>
      <c r="E114">
        <v>15.525</v>
      </c>
      <c r="F114">
        <v>5</v>
      </c>
      <c r="G114">
        <f t="shared" si="2"/>
        <v>1.0950080515297906</v>
      </c>
      <c r="H114">
        <f t="shared" si="3"/>
        <v>1</v>
      </c>
    </row>
    <row r="115" spans="1:8" x14ac:dyDescent="0.25">
      <c r="A115" s="2">
        <v>1</v>
      </c>
      <c r="B115">
        <v>18</v>
      </c>
      <c r="C115">
        <f>(Call!$F$1-Call!$A$1)/365</f>
        <v>0.37808219178082192</v>
      </c>
      <c r="D115">
        <v>1.95</v>
      </c>
      <c r="E115">
        <v>15.525</v>
      </c>
      <c r="F115">
        <v>5</v>
      </c>
      <c r="G115">
        <f t="shared" si="2"/>
        <v>1.1594202898550725</v>
      </c>
      <c r="H115">
        <f t="shared" si="3"/>
        <v>1</v>
      </c>
    </row>
    <row r="116" spans="1:8" x14ac:dyDescent="0.25">
      <c r="A116" s="2">
        <v>1</v>
      </c>
      <c r="B116">
        <v>19</v>
      </c>
      <c r="C116">
        <f>(Call!$F$1-Call!$A$1)/365</f>
        <v>0.37808219178082192</v>
      </c>
      <c r="D116">
        <v>1.75</v>
      </c>
      <c r="E116">
        <v>15.525</v>
      </c>
      <c r="F116">
        <v>5</v>
      </c>
      <c r="G116">
        <f t="shared" si="2"/>
        <v>1.2238325281803542</v>
      </c>
      <c r="H116">
        <f t="shared" si="3"/>
        <v>1</v>
      </c>
    </row>
    <row r="117" spans="1:8" x14ac:dyDescent="0.25">
      <c r="A117" s="2">
        <v>1</v>
      </c>
      <c r="B117">
        <v>20</v>
      </c>
      <c r="C117">
        <f>(Call!$F$1-Call!$A$1)/365</f>
        <v>0.37808219178082192</v>
      </c>
      <c r="D117">
        <v>1.5699999999999998</v>
      </c>
      <c r="E117">
        <v>15.525</v>
      </c>
      <c r="F117">
        <v>5</v>
      </c>
      <c r="G117">
        <f t="shared" si="2"/>
        <v>1.288244766505636</v>
      </c>
      <c r="H117">
        <f t="shared" si="3"/>
        <v>1</v>
      </c>
    </row>
    <row r="118" spans="1:8" x14ac:dyDescent="0.25">
      <c r="A118" s="2">
        <v>1</v>
      </c>
      <c r="B118">
        <v>21</v>
      </c>
      <c r="C118">
        <f>(Call!$F$1-Call!$A$1)/365</f>
        <v>0.37808219178082192</v>
      </c>
      <c r="D118">
        <v>1.43</v>
      </c>
      <c r="E118">
        <v>15.525</v>
      </c>
      <c r="F118">
        <v>5</v>
      </c>
      <c r="G118">
        <f t="shared" si="2"/>
        <v>1.3526570048309179</v>
      </c>
      <c r="H118">
        <f t="shared" si="3"/>
        <v>1</v>
      </c>
    </row>
    <row r="119" spans="1:8" x14ac:dyDescent="0.25">
      <c r="A119" s="2">
        <v>1</v>
      </c>
      <c r="B119">
        <v>22</v>
      </c>
      <c r="C119">
        <f>(Call!$F$1-Call!$A$1)/365</f>
        <v>0.37808219178082192</v>
      </c>
      <c r="D119">
        <v>1.3</v>
      </c>
      <c r="E119">
        <v>15.525</v>
      </c>
      <c r="F119">
        <v>5</v>
      </c>
      <c r="G119">
        <f t="shared" si="2"/>
        <v>1.4170692431561998</v>
      </c>
      <c r="H119">
        <f t="shared" si="3"/>
        <v>1</v>
      </c>
    </row>
    <row r="120" spans="1:8" x14ac:dyDescent="0.25">
      <c r="A120" s="2">
        <v>1</v>
      </c>
      <c r="B120">
        <v>23</v>
      </c>
      <c r="C120">
        <f>(Call!$F$1-Call!$A$1)/365</f>
        <v>0.37808219178082192</v>
      </c>
      <c r="D120">
        <v>1.1499999999999999</v>
      </c>
      <c r="E120">
        <v>15.525</v>
      </c>
      <c r="F120">
        <v>5</v>
      </c>
      <c r="G120">
        <f t="shared" si="2"/>
        <v>1.4814814814814814</v>
      </c>
      <c r="H120">
        <f t="shared" si="3"/>
        <v>1</v>
      </c>
    </row>
    <row r="121" spans="1:8" x14ac:dyDescent="0.25">
      <c r="A121" s="2">
        <v>1</v>
      </c>
      <c r="B121">
        <v>24</v>
      </c>
      <c r="C121">
        <f>(Call!$F$1-Call!$A$1)/365</f>
        <v>0.37808219178082192</v>
      </c>
      <c r="D121">
        <v>1.05</v>
      </c>
      <c r="E121">
        <v>15.525</v>
      </c>
      <c r="F121">
        <v>5</v>
      </c>
      <c r="G121">
        <f t="shared" si="2"/>
        <v>1.5458937198067633</v>
      </c>
      <c r="H121">
        <f t="shared" si="3"/>
        <v>1</v>
      </c>
    </row>
    <row r="122" spans="1:8" x14ac:dyDescent="0.25">
      <c r="A122" s="2">
        <v>1</v>
      </c>
      <c r="B122">
        <v>25</v>
      </c>
      <c r="C122">
        <f>(Call!$F$1-Call!$A$1)/365</f>
        <v>0.37808219178082192</v>
      </c>
      <c r="D122">
        <v>0.97</v>
      </c>
      <c r="E122">
        <v>15.525</v>
      </c>
      <c r="F122">
        <v>5</v>
      </c>
      <c r="G122">
        <f t="shared" si="2"/>
        <v>1.6103059581320451</v>
      </c>
      <c r="H122">
        <f t="shared" si="3"/>
        <v>1</v>
      </c>
    </row>
    <row r="123" spans="1:8" x14ac:dyDescent="0.25">
      <c r="A123" s="2">
        <v>1</v>
      </c>
      <c r="B123">
        <v>26</v>
      </c>
      <c r="C123">
        <f>(Call!$F$1-Call!$A$1)/365</f>
        <v>0.37808219178082192</v>
      </c>
      <c r="D123">
        <v>0.9</v>
      </c>
      <c r="E123">
        <v>15.525</v>
      </c>
      <c r="F123">
        <v>5</v>
      </c>
      <c r="G123">
        <f t="shared" si="2"/>
        <v>1.6747181964573268</v>
      </c>
      <c r="H123">
        <f t="shared" si="3"/>
        <v>1</v>
      </c>
    </row>
    <row r="124" spans="1:8" x14ac:dyDescent="0.25">
      <c r="A124" s="2">
        <v>1</v>
      </c>
      <c r="B124">
        <v>27</v>
      </c>
      <c r="C124">
        <f>(Call!$F$1-Call!$A$1)/365</f>
        <v>0.37808219178082192</v>
      </c>
      <c r="D124">
        <v>0.8</v>
      </c>
      <c r="E124">
        <v>15.525</v>
      </c>
      <c r="F124">
        <v>5</v>
      </c>
      <c r="G124">
        <f t="shared" si="2"/>
        <v>1.7391304347826086</v>
      </c>
      <c r="H124">
        <f t="shared" si="3"/>
        <v>1</v>
      </c>
    </row>
    <row r="125" spans="1:8" x14ac:dyDescent="0.25">
      <c r="A125" s="2">
        <v>1</v>
      </c>
      <c r="B125">
        <v>28</v>
      </c>
      <c r="C125">
        <f>(Call!$F$1-Call!$A$1)/365</f>
        <v>0.37808219178082192</v>
      </c>
      <c r="D125">
        <v>0.75</v>
      </c>
      <c r="E125">
        <v>15.525</v>
      </c>
      <c r="F125">
        <v>5</v>
      </c>
      <c r="G125">
        <f t="shared" si="2"/>
        <v>1.8035426731078905</v>
      </c>
      <c r="H125">
        <f t="shared" si="3"/>
        <v>1</v>
      </c>
    </row>
    <row r="126" spans="1:8" x14ac:dyDescent="0.25">
      <c r="A126" s="2">
        <v>1</v>
      </c>
      <c r="B126">
        <v>29</v>
      </c>
      <c r="C126">
        <f>(Call!$F$1-Call!$A$1)/365</f>
        <v>0.37808219178082192</v>
      </c>
      <c r="D126">
        <v>0.7</v>
      </c>
      <c r="E126">
        <v>15.525</v>
      </c>
      <c r="F126">
        <v>5</v>
      </c>
      <c r="G126">
        <f t="shared" si="2"/>
        <v>1.8679549114331722</v>
      </c>
      <c r="H126">
        <f t="shared" si="3"/>
        <v>1</v>
      </c>
    </row>
    <row r="127" spans="1:8" x14ac:dyDescent="0.25">
      <c r="A127" s="2">
        <v>1</v>
      </c>
      <c r="B127">
        <v>30</v>
      </c>
      <c r="C127">
        <f>(Call!$F$1-Call!$A$1)/365</f>
        <v>0.37808219178082192</v>
      </c>
      <c r="D127">
        <v>0.65</v>
      </c>
      <c r="E127">
        <v>15.525</v>
      </c>
      <c r="F127">
        <v>5</v>
      </c>
      <c r="G127">
        <f t="shared" si="2"/>
        <v>1.932367149758454</v>
      </c>
      <c r="H127">
        <f t="shared" si="3"/>
        <v>1</v>
      </c>
    </row>
    <row r="128" spans="1:8" x14ac:dyDescent="0.25">
      <c r="A128" s="2">
        <v>1</v>
      </c>
      <c r="B128">
        <v>35</v>
      </c>
      <c r="C128">
        <f>(Call!$F$1-Call!$A$1)/365</f>
        <v>0.37808219178082192</v>
      </c>
      <c r="D128">
        <v>0.45</v>
      </c>
      <c r="E128">
        <v>15.525</v>
      </c>
      <c r="F128">
        <v>5</v>
      </c>
      <c r="G128">
        <f t="shared" si="2"/>
        <v>2.2544283413848629</v>
      </c>
      <c r="H128">
        <f t="shared" si="3"/>
        <v>1</v>
      </c>
    </row>
    <row r="129" spans="1:8" x14ac:dyDescent="0.25">
      <c r="A129" s="2">
        <v>1</v>
      </c>
      <c r="B129">
        <v>40</v>
      </c>
      <c r="C129">
        <f>(Call!$F$1-Call!$A$1)/365</f>
        <v>0.37808219178082192</v>
      </c>
      <c r="D129">
        <v>0.33</v>
      </c>
      <c r="E129">
        <v>15.525</v>
      </c>
      <c r="F129">
        <v>5</v>
      </c>
      <c r="G129">
        <f t="shared" si="2"/>
        <v>2.576489533011272</v>
      </c>
      <c r="H129">
        <f t="shared" si="3"/>
        <v>1</v>
      </c>
    </row>
    <row r="130" spans="1:8" x14ac:dyDescent="0.25">
      <c r="A130" s="2">
        <v>1</v>
      </c>
      <c r="B130">
        <v>45</v>
      </c>
      <c r="C130">
        <f>(Call!$F$1-Call!$A$1)/365</f>
        <v>0.37808219178082192</v>
      </c>
      <c r="D130">
        <v>0.25</v>
      </c>
      <c r="E130">
        <v>15.525</v>
      </c>
      <c r="F130">
        <v>5</v>
      </c>
      <c r="G130">
        <f t="shared" si="2"/>
        <v>2.8985507246376812</v>
      </c>
      <c r="H130">
        <f t="shared" si="3"/>
        <v>1</v>
      </c>
    </row>
    <row r="131" spans="1:8" x14ac:dyDescent="0.25">
      <c r="A131" s="2">
        <v>1</v>
      </c>
      <c r="B131">
        <v>50</v>
      </c>
      <c r="C131">
        <f>(Call!$F$1-Call!$A$1)/365</f>
        <v>0.37808219178082192</v>
      </c>
      <c r="D131">
        <v>0.2</v>
      </c>
      <c r="E131">
        <v>15.525</v>
      </c>
      <c r="F131">
        <v>5</v>
      </c>
      <c r="G131">
        <f t="shared" ref="G131:G194" si="4">B131/E131</f>
        <v>3.2206119162640903</v>
      </c>
      <c r="H131">
        <f t="shared" ref="H131:H194" si="5">IF(A131=1,IF(E131&gt;B131,0,1),IF(E131&gt;B131,1,0))</f>
        <v>1</v>
      </c>
    </row>
    <row r="132" spans="1:8" x14ac:dyDescent="0.25">
      <c r="A132" s="2">
        <v>-1</v>
      </c>
      <c r="B132">
        <v>9</v>
      </c>
      <c r="C132">
        <f>(Call!$B$1-Call!$A$1)/365</f>
        <v>5.2054794520547946E-2</v>
      </c>
      <c r="D132">
        <v>0.05</v>
      </c>
      <c r="E132">
        <v>12.625</v>
      </c>
      <c r="F132">
        <v>1</v>
      </c>
      <c r="G132">
        <f t="shared" si="4"/>
        <v>0.71287128712871284</v>
      </c>
      <c r="H132">
        <f t="shared" si="5"/>
        <v>1</v>
      </c>
    </row>
    <row r="133" spans="1:8" x14ac:dyDescent="0.25">
      <c r="A133" s="2">
        <v>-1</v>
      </c>
      <c r="B133">
        <v>10</v>
      </c>
      <c r="C133">
        <f>(Call!$B$1-Call!$A$1)/365</f>
        <v>5.2054794520547946E-2</v>
      </c>
      <c r="D133">
        <v>0.05</v>
      </c>
      <c r="E133">
        <v>12.625</v>
      </c>
      <c r="F133">
        <v>1</v>
      </c>
      <c r="G133">
        <f t="shared" si="4"/>
        <v>0.79207920792079212</v>
      </c>
      <c r="H133">
        <f t="shared" si="5"/>
        <v>1</v>
      </c>
    </row>
    <row r="134" spans="1:8" x14ac:dyDescent="0.25">
      <c r="A134" s="2">
        <v>-1</v>
      </c>
      <c r="B134">
        <v>11</v>
      </c>
      <c r="C134">
        <f>(Call!$B$1-Call!$A$1)/365</f>
        <v>5.2054794520547946E-2</v>
      </c>
      <c r="D134">
        <v>0.13</v>
      </c>
      <c r="E134">
        <v>12.625</v>
      </c>
      <c r="F134">
        <v>1</v>
      </c>
      <c r="G134">
        <f t="shared" si="4"/>
        <v>0.87128712871287128</v>
      </c>
      <c r="H134">
        <f t="shared" si="5"/>
        <v>1</v>
      </c>
    </row>
    <row r="135" spans="1:8" x14ac:dyDescent="0.25">
      <c r="A135" s="2">
        <v>-1</v>
      </c>
      <c r="B135">
        <v>12</v>
      </c>
      <c r="C135">
        <f>(Call!$B$1-Call!$A$1)/365</f>
        <v>5.2054794520547946E-2</v>
      </c>
      <c r="D135">
        <v>0.55000000000000004</v>
      </c>
      <c r="E135">
        <v>12.625</v>
      </c>
      <c r="F135">
        <v>1</v>
      </c>
      <c r="G135">
        <f t="shared" si="4"/>
        <v>0.95049504950495045</v>
      </c>
      <c r="H135">
        <f t="shared" si="5"/>
        <v>1</v>
      </c>
    </row>
    <row r="136" spans="1:8" hidden="1" x14ac:dyDescent="0.25">
      <c r="A136" s="2">
        <v>-1</v>
      </c>
      <c r="B136">
        <v>13</v>
      </c>
      <c r="C136">
        <f>(Call!$B$1-Call!$A$1)/365</f>
        <v>5.2054794520547946E-2</v>
      </c>
      <c r="D136">
        <v>1.2</v>
      </c>
      <c r="E136">
        <v>12.625</v>
      </c>
      <c r="F136">
        <v>1</v>
      </c>
      <c r="G136">
        <f t="shared" si="4"/>
        <v>1.0297029702970297</v>
      </c>
      <c r="H136">
        <f t="shared" si="5"/>
        <v>0</v>
      </c>
    </row>
    <row r="137" spans="1:8" hidden="1" x14ac:dyDescent="0.25">
      <c r="A137" s="2">
        <v>-1</v>
      </c>
      <c r="B137">
        <v>14</v>
      </c>
      <c r="C137">
        <f>(Call!$B$1-Call!$A$1)/365</f>
        <v>5.2054794520547946E-2</v>
      </c>
      <c r="D137">
        <v>2.02</v>
      </c>
      <c r="E137">
        <v>12.625</v>
      </c>
      <c r="F137">
        <v>1</v>
      </c>
      <c r="G137">
        <f t="shared" si="4"/>
        <v>1.108910891089109</v>
      </c>
      <c r="H137">
        <f t="shared" si="5"/>
        <v>0</v>
      </c>
    </row>
    <row r="138" spans="1:8" hidden="1" x14ac:dyDescent="0.25">
      <c r="A138" s="2">
        <v>-1</v>
      </c>
      <c r="B138">
        <v>15</v>
      </c>
      <c r="C138">
        <f>(Call!$B$1-Call!$A$1)/365</f>
        <v>5.2054794520547946E-2</v>
      </c>
      <c r="D138">
        <v>2.88</v>
      </c>
      <c r="E138">
        <v>12.625</v>
      </c>
      <c r="F138">
        <v>1</v>
      </c>
      <c r="G138">
        <f t="shared" si="4"/>
        <v>1.1881188118811881</v>
      </c>
      <c r="H138">
        <f t="shared" si="5"/>
        <v>0</v>
      </c>
    </row>
    <row r="139" spans="1:8" hidden="1" x14ac:dyDescent="0.25">
      <c r="A139" s="2">
        <v>-1</v>
      </c>
      <c r="B139">
        <v>16</v>
      </c>
      <c r="C139">
        <f>(Call!$B$1-Call!$A$1)/365</f>
        <v>5.2054794520547946E-2</v>
      </c>
      <c r="D139">
        <v>3.8</v>
      </c>
      <c r="E139">
        <v>12.625</v>
      </c>
      <c r="F139">
        <v>1</v>
      </c>
      <c r="G139">
        <f t="shared" si="4"/>
        <v>1.2673267326732673</v>
      </c>
      <c r="H139">
        <f t="shared" si="5"/>
        <v>0</v>
      </c>
    </row>
    <row r="140" spans="1:8" hidden="1" x14ac:dyDescent="0.25">
      <c r="A140" s="2">
        <v>-1</v>
      </c>
      <c r="B140">
        <v>17</v>
      </c>
      <c r="C140">
        <f>(Call!$B$1-Call!$A$1)/365</f>
        <v>5.2054794520547946E-2</v>
      </c>
      <c r="D140">
        <v>4.7</v>
      </c>
      <c r="E140">
        <v>12.625</v>
      </c>
      <c r="F140">
        <v>1</v>
      </c>
      <c r="G140">
        <f t="shared" si="4"/>
        <v>1.3465346534653466</v>
      </c>
      <c r="H140">
        <f t="shared" si="5"/>
        <v>0</v>
      </c>
    </row>
    <row r="141" spans="1:8" hidden="1" x14ac:dyDescent="0.25">
      <c r="A141" s="2">
        <v>-1</v>
      </c>
      <c r="B141">
        <v>18</v>
      </c>
      <c r="C141">
        <f>(Call!$B$1-Call!$A$1)/365</f>
        <v>5.2054794520547946E-2</v>
      </c>
      <c r="D141">
        <v>5.65</v>
      </c>
      <c r="E141">
        <v>12.625</v>
      </c>
      <c r="F141">
        <v>1</v>
      </c>
      <c r="G141">
        <f t="shared" si="4"/>
        <v>1.4257425742574257</v>
      </c>
      <c r="H141">
        <f t="shared" si="5"/>
        <v>0</v>
      </c>
    </row>
    <row r="142" spans="1:8" hidden="1" x14ac:dyDescent="0.25">
      <c r="A142" s="2">
        <v>-1</v>
      </c>
      <c r="B142">
        <v>19</v>
      </c>
      <c r="C142">
        <f>(Call!$B$1-Call!$A$1)/365</f>
        <v>5.2054794520547946E-2</v>
      </c>
      <c r="D142">
        <v>6.6</v>
      </c>
      <c r="E142">
        <v>12.625</v>
      </c>
      <c r="F142">
        <v>1</v>
      </c>
      <c r="G142">
        <f t="shared" si="4"/>
        <v>1.504950495049505</v>
      </c>
      <c r="H142">
        <f t="shared" si="5"/>
        <v>0</v>
      </c>
    </row>
    <row r="143" spans="1:8" hidden="1" x14ac:dyDescent="0.25">
      <c r="A143" s="2">
        <v>-1</v>
      </c>
      <c r="B143">
        <v>20</v>
      </c>
      <c r="C143">
        <f>(Call!$B$1-Call!$A$1)/365</f>
        <v>5.2054794520547946E-2</v>
      </c>
      <c r="D143">
        <v>7.6</v>
      </c>
      <c r="E143">
        <v>12.625</v>
      </c>
      <c r="F143">
        <v>1</v>
      </c>
      <c r="G143">
        <f t="shared" si="4"/>
        <v>1.5841584158415842</v>
      </c>
      <c r="H143">
        <f t="shared" si="5"/>
        <v>0</v>
      </c>
    </row>
    <row r="144" spans="1:8" hidden="1" x14ac:dyDescent="0.25">
      <c r="A144" s="2">
        <v>-1</v>
      </c>
      <c r="B144">
        <v>21</v>
      </c>
      <c r="C144">
        <f>(Call!$B$1-Call!$A$1)/365</f>
        <v>5.2054794520547946E-2</v>
      </c>
      <c r="D144">
        <v>8.5</v>
      </c>
      <c r="E144">
        <v>12.625</v>
      </c>
      <c r="F144">
        <v>1</v>
      </c>
      <c r="G144">
        <f t="shared" si="4"/>
        <v>1.6633663366336633</v>
      </c>
      <c r="H144">
        <f t="shared" si="5"/>
        <v>0</v>
      </c>
    </row>
    <row r="145" spans="1:8" hidden="1" x14ac:dyDescent="0.25">
      <c r="A145" s="2">
        <v>-1</v>
      </c>
      <c r="B145">
        <v>22</v>
      </c>
      <c r="C145">
        <f>(Call!$B$1-Call!$A$1)/365</f>
        <v>5.2054794520547946E-2</v>
      </c>
      <c r="D145">
        <v>9.5</v>
      </c>
      <c r="E145">
        <v>12.625</v>
      </c>
      <c r="F145">
        <v>1</v>
      </c>
      <c r="G145">
        <f t="shared" si="4"/>
        <v>1.7425742574257426</v>
      </c>
      <c r="H145">
        <f t="shared" si="5"/>
        <v>0</v>
      </c>
    </row>
    <row r="146" spans="1:8" hidden="1" x14ac:dyDescent="0.25">
      <c r="A146" s="2">
        <v>-1</v>
      </c>
      <c r="B146">
        <v>23</v>
      </c>
      <c r="C146">
        <f>(Call!$B$1-Call!$A$1)/365</f>
        <v>5.2054794520547946E-2</v>
      </c>
      <c r="D146">
        <v>10.5</v>
      </c>
      <c r="E146">
        <v>12.625</v>
      </c>
      <c r="F146">
        <v>1</v>
      </c>
      <c r="G146">
        <f t="shared" si="4"/>
        <v>1.8217821782178218</v>
      </c>
      <c r="H146">
        <f t="shared" si="5"/>
        <v>0</v>
      </c>
    </row>
    <row r="147" spans="1:8" hidden="1" x14ac:dyDescent="0.25">
      <c r="A147" s="2">
        <v>-1</v>
      </c>
      <c r="B147">
        <v>24</v>
      </c>
      <c r="C147">
        <f>(Call!$B$1-Call!$A$1)/365</f>
        <v>5.2054794520547946E-2</v>
      </c>
      <c r="D147">
        <v>11.45</v>
      </c>
      <c r="E147">
        <v>12.625</v>
      </c>
      <c r="F147">
        <v>1</v>
      </c>
      <c r="G147">
        <f t="shared" si="4"/>
        <v>1.9009900990099009</v>
      </c>
      <c r="H147">
        <f t="shared" si="5"/>
        <v>0</v>
      </c>
    </row>
    <row r="148" spans="1:8" hidden="1" x14ac:dyDescent="0.25">
      <c r="A148" s="2">
        <v>-1</v>
      </c>
      <c r="B148">
        <v>25</v>
      </c>
      <c r="C148">
        <f>(Call!$B$1-Call!$A$1)/365</f>
        <v>5.2054794520547946E-2</v>
      </c>
      <c r="D148">
        <v>12.45</v>
      </c>
      <c r="E148">
        <v>12.625</v>
      </c>
      <c r="F148">
        <v>1</v>
      </c>
      <c r="G148">
        <f t="shared" si="4"/>
        <v>1.9801980198019802</v>
      </c>
      <c r="H148">
        <f t="shared" si="5"/>
        <v>0</v>
      </c>
    </row>
    <row r="149" spans="1:8" hidden="1" x14ac:dyDescent="0.25">
      <c r="A149" s="2">
        <v>-1</v>
      </c>
      <c r="B149">
        <v>26</v>
      </c>
      <c r="C149">
        <f>(Call!$B$1-Call!$A$1)/365</f>
        <v>5.2054794520547946E-2</v>
      </c>
      <c r="D149">
        <v>13.45</v>
      </c>
      <c r="E149">
        <v>12.625</v>
      </c>
      <c r="F149">
        <v>1</v>
      </c>
      <c r="G149">
        <f t="shared" si="4"/>
        <v>2.0594059405940595</v>
      </c>
      <c r="H149">
        <f t="shared" si="5"/>
        <v>0</v>
      </c>
    </row>
    <row r="150" spans="1:8" hidden="1" x14ac:dyDescent="0.25">
      <c r="A150" s="2">
        <v>-1</v>
      </c>
      <c r="B150">
        <v>27</v>
      </c>
      <c r="C150">
        <f>(Call!$B$1-Call!$A$1)/365</f>
        <v>5.2054794520547946E-2</v>
      </c>
      <c r="D150">
        <v>14.4</v>
      </c>
      <c r="E150">
        <v>12.625</v>
      </c>
      <c r="F150">
        <v>1</v>
      </c>
      <c r="G150">
        <f t="shared" si="4"/>
        <v>2.1386138613861387</v>
      </c>
      <c r="H150">
        <f t="shared" si="5"/>
        <v>0</v>
      </c>
    </row>
    <row r="151" spans="1:8" hidden="1" x14ac:dyDescent="0.25">
      <c r="A151" s="2">
        <v>-1</v>
      </c>
      <c r="B151">
        <v>28</v>
      </c>
      <c r="C151">
        <f>(Call!$B$1-Call!$A$1)/365</f>
        <v>5.2054794520547946E-2</v>
      </c>
      <c r="D151">
        <v>15.4</v>
      </c>
      <c r="E151">
        <v>12.625</v>
      </c>
      <c r="F151">
        <v>1</v>
      </c>
      <c r="G151">
        <f t="shared" si="4"/>
        <v>2.217821782178218</v>
      </c>
      <c r="H151">
        <f t="shared" si="5"/>
        <v>0</v>
      </c>
    </row>
    <row r="152" spans="1:8" hidden="1" x14ac:dyDescent="0.25">
      <c r="A152" s="2">
        <v>-1</v>
      </c>
      <c r="B152">
        <v>29</v>
      </c>
      <c r="C152">
        <f>(Call!$B$1-Call!$A$1)/365</f>
        <v>5.2054794520547946E-2</v>
      </c>
      <c r="D152">
        <v>16.399999999999999</v>
      </c>
      <c r="E152">
        <v>12.625</v>
      </c>
      <c r="F152">
        <v>1</v>
      </c>
      <c r="G152">
        <f t="shared" si="4"/>
        <v>2.2970297029702968</v>
      </c>
      <c r="H152">
        <f t="shared" si="5"/>
        <v>0</v>
      </c>
    </row>
    <row r="153" spans="1:8" hidden="1" x14ac:dyDescent="0.25">
      <c r="A153" s="2">
        <v>-1</v>
      </c>
      <c r="B153">
        <v>30</v>
      </c>
      <c r="C153">
        <f>(Call!$B$1-Call!$A$1)/365</f>
        <v>5.2054794520547946E-2</v>
      </c>
      <c r="D153">
        <v>17.399999999999999</v>
      </c>
      <c r="E153">
        <v>12.625</v>
      </c>
      <c r="F153">
        <v>1</v>
      </c>
      <c r="G153">
        <f t="shared" si="4"/>
        <v>2.3762376237623761</v>
      </c>
      <c r="H153">
        <f t="shared" si="5"/>
        <v>0</v>
      </c>
    </row>
    <row r="154" spans="1:8" hidden="1" x14ac:dyDescent="0.25">
      <c r="A154" s="2">
        <v>-1</v>
      </c>
      <c r="B154">
        <v>35</v>
      </c>
      <c r="C154">
        <f>(Call!$B$1-Call!$A$1)/365</f>
        <v>5.2054794520547946E-2</v>
      </c>
      <c r="D154">
        <v>22.35</v>
      </c>
      <c r="E154">
        <v>12.625</v>
      </c>
      <c r="F154">
        <v>1</v>
      </c>
      <c r="G154">
        <f t="shared" si="4"/>
        <v>2.7722772277227721</v>
      </c>
      <c r="H154">
        <f t="shared" si="5"/>
        <v>0</v>
      </c>
    </row>
    <row r="155" spans="1:8" hidden="1" x14ac:dyDescent="0.25">
      <c r="A155" s="2">
        <v>-1</v>
      </c>
      <c r="B155">
        <v>40</v>
      </c>
      <c r="C155">
        <f>(Call!$B$1-Call!$A$1)/365</f>
        <v>5.2054794520547946E-2</v>
      </c>
      <c r="D155">
        <v>27.35</v>
      </c>
      <c r="E155">
        <v>12.625</v>
      </c>
      <c r="F155">
        <v>1</v>
      </c>
      <c r="G155">
        <f t="shared" si="4"/>
        <v>3.1683168316831685</v>
      </c>
      <c r="H155">
        <f t="shared" si="5"/>
        <v>0</v>
      </c>
    </row>
    <row r="156" spans="1:8" hidden="1" x14ac:dyDescent="0.25">
      <c r="A156" s="2">
        <v>-1</v>
      </c>
      <c r="B156">
        <v>45</v>
      </c>
      <c r="C156">
        <f>(Call!$B$1-Call!$A$1)/365</f>
        <v>5.2054794520547946E-2</v>
      </c>
      <c r="D156">
        <v>32.35</v>
      </c>
      <c r="E156">
        <v>12.625</v>
      </c>
      <c r="F156">
        <v>1</v>
      </c>
      <c r="G156">
        <f t="shared" si="4"/>
        <v>3.5643564356435644</v>
      </c>
      <c r="H156">
        <f t="shared" si="5"/>
        <v>0</v>
      </c>
    </row>
    <row r="157" spans="1:8" hidden="1" x14ac:dyDescent="0.25">
      <c r="A157" s="2">
        <v>-1</v>
      </c>
      <c r="B157">
        <v>50</v>
      </c>
      <c r="C157">
        <f>(Call!$B$1-Call!$A$1)/365</f>
        <v>5.2054794520547946E-2</v>
      </c>
      <c r="D157">
        <v>37.35</v>
      </c>
      <c r="E157">
        <v>12.625</v>
      </c>
      <c r="F157">
        <v>1</v>
      </c>
      <c r="G157">
        <f t="shared" si="4"/>
        <v>3.9603960396039604</v>
      </c>
      <c r="H157">
        <f t="shared" si="5"/>
        <v>0</v>
      </c>
    </row>
    <row r="158" spans="1:8" x14ac:dyDescent="0.25">
      <c r="A158" s="2">
        <v>-1</v>
      </c>
      <c r="B158">
        <v>9</v>
      </c>
      <c r="C158">
        <f>(Call!$C$1-Call!$A$1)/365</f>
        <v>0.12876712328767123</v>
      </c>
      <c r="D158">
        <v>0.05</v>
      </c>
      <c r="E158">
        <v>13.775</v>
      </c>
      <c r="F158">
        <v>2</v>
      </c>
      <c r="G158">
        <f t="shared" si="4"/>
        <v>0.65335753176043554</v>
      </c>
      <c r="H158">
        <f t="shared" si="5"/>
        <v>1</v>
      </c>
    </row>
    <row r="159" spans="1:8" x14ac:dyDescent="0.25">
      <c r="A159" s="2">
        <v>-1</v>
      </c>
      <c r="B159">
        <v>10</v>
      </c>
      <c r="C159">
        <f>(Call!$C$1-Call!$A$1)/365</f>
        <v>0.12876712328767123</v>
      </c>
      <c r="D159">
        <v>0.1</v>
      </c>
      <c r="E159">
        <v>13.775</v>
      </c>
      <c r="F159">
        <v>2</v>
      </c>
      <c r="G159">
        <f t="shared" si="4"/>
        <v>0.72595281306715065</v>
      </c>
      <c r="H159">
        <f t="shared" si="5"/>
        <v>1</v>
      </c>
    </row>
    <row r="160" spans="1:8" x14ac:dyDescent="0.25">
      <c r="A160" s="2">
        <v>-1</v>
      </c>
      <c r="B160">
        <v>11</v>
      </c>
      <c r="C160">
        <f>(Call!$C$1-Call!$A$1)/365</f>
        <v>0.12876712328767123</v>
      </c>
      <c r="D160">
        <v>0.25</v>
      </c>
      <c r="E160">
        <v>13.775</v>
      </c>
      <c r="F160">
        <v>2</v>
      </c>
      <c r="G160">
        <f t="shared" si="4"/>
        <v>0.79854809437386565</v>
      </c>
      <c r="H160">
        <f t="shared" si="5"/>
        <v>1</v>
      </c>
    </row>
    <row r="161" spans="1:8" x14ac:dyDescent="0.25">
      <c r="A161" s="2">
        <v>-1</v>
      </c>
      <c r="B161">
        <v>12</v>
      </c>
      <c r="C161">
        <f>(Call!$C$1-Call!$A$1)/365</f>
        <v>0.12876712328767123</v>
      </c>
      <c r="D161">
        <v>0.65</v>
      </c>
      <c r="E161">
        <v>13.775</v>
      </c>
      <c r="F161">
        <v>2</v>
      </c>
      <c r="G161">
        <f t="shared" si="4"/>
        <v>0.87114337568058076</v>
      </c>
      <c r="H161">
        <f t="shared" si="5"/>
        <v>1</v>
      </c>
    </row>
    <row r="162" spans="1:8" x14ac:dyDescent="0.25">
      <c r="A162" s="2">
        <v>-1</v>
      </c>
      <c r="B162">
        <v>13</v>
      </c>
      <c r="C162">
        <f>(Call!$C$1-Call!$A$1)/365</f>
        <v>0.12876712328767123</v>
      </c>
      <c r="D162">
        <v>1.2</v>
      </c>
      <c r="E162">
        <v>13.775</v>
      </c>
      <c r="F162">
        <v>2</v>
      </c>
      <c r="G162">
        <f t="shared" si="4"/>
        <v>0.94373865698729575</v>
      </c>
      <c r="H162">
        <f t="shared" si="5"/>
        <v>1</v>
      </c>
    </row>
    <row r="163" spans="1:8" hidden="1" x14ac:dyDescent="0.25">
      <c r="A163" s="2">
        <v>-1</v>
      </c>
      <c r="B163">
        <v>14</v>
      </c>
      <c r="C163">
        <f>(Call!$C$1-Call!$A$1)/365</f>
        <v>0.12876712328767123</v>
      </c>
      <c r="D163">
        <v>1.9</v>
      </c>
      <c r="E163">
        <v>13.775</v>
      </c>
      <c r="F163">
        <v>2</v>
      </c>
      <c r="G163">
        <f t="shared" si="4"/>
        <v>1.0163339382940109</v>
      </c>
      <c r="H163">
        <f t="shared" si="5"/>
        <v>0</v>
      </c>
    </row>
    <row r="164" spans="1:8" hidden="1" x14ac:dyDescent="0.25">
      <c r="A164" s="2">
        <v>-1</v>
      </c>
      <c r="B164">
        <v>15</v>
      </c>
      <c r="C164">
        <f>(Call!$C$1-Call!$A$1)/365</f>
        <v>0.12876712328767123</v>
      </c>
      <c r="D164">
        <v>2.67</v>
      </c>
      <c r="E164">
        <v>13.775</v>
      </c>
      <c r="F164">
        <v>2</v>
      </c>
      <c r="G164">
        <f t="shared" si="4"/>
        <v>1.0889292196007259</v>
      </c>
      <c r="H164">
        <f t="shared" si="5"/>
        <v>0</v>
      </c>
    </row>
    <row r="165" spans="1:8" hidden="1" x14ac:dyDescent="0.25">
      <c r="A165" s="2">
        <v>-1</v>
      </c>
      <c r="B165">
        <v>16</v>
      </c>
      <c r="C165">
        <f>(Call!$C$1-Call!$A$1)/365</f>
        <v>0.12876712328767123</v>
      </c>
      <c r="D165">
        <v>3.5</v>
      </c>
      <c r="E165">
        <v>13.775</v>
      </c>
      <c r="F165">
        <v>2</v>
      </c>
      <c r="G165">
        <f t="shared" si="4"/>
        <v>1.1615245009074411</v>
      </c>
      <c r="H165">
        <f t="shared" si="5"/>
        <v>0</v>
      </c>
    </row>
    <row r="166" spans="1:8" hidden="1" x14ac:dyDescent="0.25">
      <c r="A166" s="2">
        <v>-1</v>
      </c>
      <c r="B166">
        <v>17</v>
      </c>
      <c r="C166">
        <f>(Call!$C$1-Call!$A$1)/365</f>
        <v>0.12876712328767123</v>
      </c>
      <c r="D166">
        <v>4.3</v>
      </c>
      <c r="E166">
        <v>13.775</v>
      </c>
      <c r="F166">
        <v>2</v>
      </c>
      <c r="G166">
        <f t="shared" si="4"/>
        <v>1.2341197822141561</v>
      </c>
      <c r="H166">
        <f t="shared" si="5"/>
        <v>0</v>
      </c>
    </row>
    <row r="167" spans="1:8" hidden="1" x14ac:dyDescent="0.25">
      <c r="A167" s="2">
        <v>-1</v>
      </c>
      <c r="B167">
        <v>18</v>
      </c>
      <c r="C167">
        <f>(Call!$C$1-Call!$A$1)/365</f>
        <v>0.12876712328767123</v>
      </c>
      <c r="D167">
        <v>5.2</v>
      </c>
      <c r="E167">
        <v>13.775</v>
      </c>
      <c r="F167">
        <v>2</v>
      </c>
      <c r="G167">
        <f t="shared" si="4"/>
        <v>1.3067150635208711</v>
      </c>
      <c r="H167">
        <f t="shared" si="5"/>
        <v>0</v>
      </c>
    </row>
    <row r="168" spans="1:8" hidden="1" x14ac:dyDescent="0.25">
      <c r="A168" s="2">
        <v>-1</v>
      </c>
      <c r="B168">
        <v>19</v>
      </c>
      <c r="C168">
        <f>(Call!$C$1-Call!$A$1)/365</f>
        <v>0.12876712328767123</v>
      </c>
      <c r="D168">
        <v>6.1</v>
      </c>
      <c r="E168">
        <v>13.775</v>
      </c>
      <c r="F168">
        <v>2</v>
      </c>
      <c r="G168">
        <f t="shared" si="4"/>
        <v>1.3793103448275861</v>
      </c>
      <c r="H168">
        <f t="shared" si="5"/>
        <v>0</v>
      </c>
    </row>
    <row r="169" spans="1:8" hidden="1" x14ac:dyDescent="0.25">
      <c r="A169" s="2">
        <v>-1</v>
      </c>
      <c r="B169">
        <v>20</v>
      </c>
      <c r="C169">
        <f>(Call!$C$1-Call!$A$1)/365</f>
        <v>0.12876712328767123</v>
      </c>
      <c r="D169">
        <v>7</v>
      </c>
      <c r="E169">
        <v>13.775</v>
      </c>
      <c r="F169">
        <v>2</v>
      </c>
      <c r="G169">
        <f t="shared" si="4"/>
        <v>1.4519056261343013</v>
      </c>
      <c r="H169">
        <f t="shared" si="5"/>
        <v>0</v>
      </c>
    </row>
    <row r="170" spans="1:8" hidden="1" x14ac:dyDescent="0.25">
      <c r="A170" s="2">
        <v>-1</v>
      </c>
      <c r="B170">
        <v>21</v>
      </c>
      <c r="C170">
        <f>(Call!$C$1-Call!$A$1)/365</f>
        <v>0.12876712328767123</v>
      </c>
      <c r="D170">
        <v>7.9</v>
      </c>
      <c r="E170">
        <v>13.775</v>
      </c>
      <c r="F170">
        <v>2</v>
      </c>
      <c r="G170">
        <f t="shared" si="4"/>
        <v>1.5245009074410163</v>
      </c>
      <c r="H170">
        <f t="shared" si="5"/>
        <v>0</v>
      </c>
    </row>
    <row r="171" spans="1:8" hidden="1" x14ac:dyDescent="0.25">
      <c r="A171" s="2">
        <v>-1</v>
      </c>
      <c r="B171">
        <v>22</v>
      </c>
      <c r="C171">
        <f>(Call!$C$1-Call!$A$1)/365</f>
        <v>0.12876712328767123</v>
      </c>
      <c r="D171">
        <v>8.8000000000000007</v>
      </c>
      <c r="E171">
        <v>13.775</v>
      </c>
      <c r="F171">
        <v>2</v>
      </c>
      <c r="G171">
        <f t="shared" si="4"/>
        <v>1.5970961887477313</v>
      </c>
      <c r="H171">
        <f t="shared" si="5"/>
        <v>0</v>
      </c>
    </row>
    <row r="172" spans="1:8" hidden="1" x14ac:dyDescent="0.25">
      <c r="A172" s="2">
        <v>-1</v>
      </c>
      <c r="B172">
        <v>23</v>
      </c>
      <c r="C172">
        <f>(Call!$C$1-Call!$A$1)/365</f>
        <v>0.12876712328767123</v>
      </c>
      <c r="D172">
        <v>9.8000000000000007</v>
      </c>
      <c r="E172">
        <v>13.775</v>
      </c>
      <c r="F172">
        <v>2</v>
      </c>
      <c r="G172">
        <f t="shared" si="4"/>
        <v>1.6696914700544465</v>
      </c>
      <c r="H172">
        <f t="shared" si="5"/>
        <v>0</v>
      </c>
    </row>
    <row r="173" spans="1:8" hidden="1" x14ac:dyDescent="0.25">
      <c r="A173" s="2">
        <v>-1</v>
      </c>
      <c r="B173">
        <v>24</v>
      </c>
      <c r="C173">
        <f>(Call!$C$1-Call!$A$1)/365</f>
        <v>0.12876712328767123</v>
      </c>
      <c r="D173">
        <v>10.7</v>
      </c>
      <c r="E173">
        <v>13.775</v>
      </c>
      <c r="F173">
        <v>2</v>
      </c>
      <c r="G173">
        <f t="shared" si="4"/>
        <v>1.7422867513611615</v>
      </c>
      <c r="H173">
        <f t="shared" si="5"/>
        <v>0</v>
      </c>
    </row>
    <row r="174" spans="1:8" hidden="1" x14ac:dyDescent="0.25">
      <c r="A174" s="2">
        <v>-1</v>
      </c>
      <c r="B174">
        <v>25</v>
      </c>
      <c r="C174">
        <f>(Call!$C$1-Call!$A$1)/365</f>
        <v>0.12876712328767123</v>
      </c>
      <c r="D174">
        <v>11.65</v>
      </c>
      <c r="E174">
        <v>13.775</v>
      </c>
      <c r="F174">
        <v>2</v>
      </c>
      <c r="G174">
        <f t="shared" si="4"/>
        <v>1.8148820326678765</v>
      </c>
      <c r="H174">
        <f t="shared" si="5"/>
        <v>0</v>
      </c>
    </row>
    <row r="175" spans="1:8" hidden="1" x14ac:dyDescent="0.25">
      <c r="A175" s="2">
        <v>-1</v>
      </c>
      <c r="B175">
        <v>26</v>
      </c>
      <c r="C175">
        <f>(Call!$C$1-Call!$A$1)/365</f>
        <v>0.12876712328767123</v>
      </c>
      <c r="D175">
        <v>12.6</v>
      </c>
      <c r="E175">
        <v>13.775</v>
      </c>
      <c r="F175">
        <v>2</v>
      </c>
      <c r="G175">
        <f t="shared" si="4"/>
        <v>1.8874773139745915</v>
      </c>
      <c r="H175">
        <f t="shared" si="5"/>
        <v>0</v>
      </c>
    </row>
    <row r="176" spans="1:8" hidden="1" x14ac:dyDescent="0.25">
      <c r="A176" s="2">
        <v>-1</v>
      </c>
      <c r="B176">
        <v>27</v>
      </c>
      <c r="C176">
        <f>(Call!$C$1-Call!$A$1)/365</f>
        <v>0.12876712328767123</v>
      </c>
      <c r="D176">
        <v>13.6</v>
      </c>
      <c r="E176">
        <v>13.775</v>
      </c>
      <c r="F176">
        <v>2</v>
      </c>
      <c r="G176">
        <f t="shared" si="4"/>
        <v>1.9600725952813067</v>
      </c>
      <c r="H176">
        <f t="shared" si="5"/>
        <v>0</v>
      </c>
    </row>
    <row r="177" spans="1:8" hidden="1" x14ac:dyDescent="0.25">
      <c r="A177" s="2">
        <v>-1</v>
      </c>
      <c r="B177">
        <v>28</v>
      </c>
      <c r="C177">
        <f>(Call!$C$1-Call!$A$1)/365</f>
        <v>0.12876712328767123</v>
      </c>
      <c r="D177">
        <v>14.5</v>
      </c>
      <c r="E177">
        <v>13.775</v>
      </c>
      <c r="F177">
        <v>2</v>
      </c>
      <c r="G177">
        <f t="shared" si="4"/>
        <v>2.0326678765880217</v>
      </c>
      <c r="H177">
        <f t="shared" si="5"/>
        <v>0</v>
      </c>
    </row>
    <row r="178" spans="1:8" hidden="1" x14ac:dyDescent="0.25">
      <c r="A178" s="2">
        <v>-1</v>
      </c>
      <c r="B178">
        <v>29</v>
      </c>
      <c r="C178">
        <f>(Call!$C$1-Call!$A$1)/365</f>
        <v>0.12876712328767123</v>
      </c>
      <c r="D178">
        <v>15.5</v>
      </c>
      <c r="E178">
        <v>13.775</v>
      </c>
      <c r="F178">
        <v>2</v>
      </c>
      <c r="G178">
        <f t="shared" si="4"/>
        <v>2.1052631578947367</v>
      </c>
      <c r="H178">
        <f t="shared" si="5"/>
        <v>0</v>
      </c>
    </row>
    <row r="179" spans="1:8" hidden="1" x14ac:dyDescent="0.25">
      <c r="A179" s="2">
        <v>-1</v>
      </c>
      <c r="B179">
        <v>30</v>
      </c>
      <c r="C179">
        <f>(Call!$C$1-Call!$A$1)/365</f>
        <v>0.12876712328767123</v>
      </c>
      <c r="D179">
        <v>16.5</v>
      </c>
      <c r="E179">
        <v>13.775</v>
      </c>
      <c r="F179">
        <v>2</v>
      </c>
      <c r="G179">
        <f t="shared" si="4"/>
        <v>2.1778584392014517</v>
      </c>
      <c r="H179">
        <f t="shared" si="5"/>
        <v>0</v>
      </c>
    </row>
    <row r="180" spans="1:8" hidden="1" x14ac:dyDescent="0.25">
      <c r="A180" s="2">
        <v>-1</v>
      </c>
      <c r="B180">
        <v>35</v>
      </c>
      <c r="C180">
        <f>(Call!$C$1-Call!$A$1)/365</f>
        <v>0.12876712328767123</v>
      </c>
      <c r="D180">
        <v>21.35</v>
      </c>
      <c r="E180">
        <v>13.775</v>
      </c>
      <c r="F180">
        <v>2</v>
      </c>
      <c r="G180">
        <f t="shared" si="4"/>
        <v>2.5408348457350272</v>
      </c>
      <c r="H180">
        <f t="shared" si="5"/>
        <v>0</v>
      </c>
    </row>
    <row r="181" spans="1:8" hidden="1" x14ac:dyDescent="0.25">
      <c r="A181" s="2">
        <v>-1</v>
      </c>
      <c r="B181">
        <v>40</v>
      </c>
      <c r="C181">
        <f>(Call!$C$1-Call!$A$1)/365</f>
        <v>0.12876712328767123</v>
      </c>
      <c r="D181">
        <v>26.3</v>
      </c>
      <c r="E181">
        <v>13.775</v>
      </c>
      <c r="F181">
        <v>2</v>
      </c>
      <c r="G181">
        <f t="shared" si="4"/>
        <v>2.9038112522686026</v>
      </c>
      <c r="H181">
        <f t="shared" si="5"/>
        <v>0</v>
      </c>
    </row>
    <row r="182" spans="1:8" hidden="1" x14ac:dyDescent="0.25">
      <c r="A182" s="2">
        <v>-1</v>
      </c>
      <c r="B182">
        <v>45</v>
      </c>
      <c r="C182">
        <f>(Call!$C$1-Call!$A$1)/365</f>
        <v>0.12876712328767123</v>
      </c>
      <c r="D182">
        <v>31.25</v>
      </c>
      <c r="E182">
        <v>13.775</v>
      </c>
      <c r="F182">
        <v>2</v>
      </c>
      <c r="G182">
        <f t="shared" si="4"/>
        <v>3.2667876588021776</v>
      </c>
      <c r="H182">
        <f t="shared" si="5"/>
        <v>0</v>
      </c>
    </row>
    <row r="183" spans="1:8" hidden="1" x14ac:dyDescent="0.25">
      <c r="A183" s="2">
        <v>-1</v>
      </c>
      <c r="B183">
        <v>50</v>
      </c>
      <c r="C183">
        <f>(Call!$C$1-Call!$A$1)/365</f>
        <v>0.12876712328767123</v>
      </c>
      <c r="D183">
        <v>36.200000000000003</v>
      </c>
      <c r="E183">
        <v>13.775</v>
      </c>
      <c r="F183">
        <v>2</v>
      </c>
      <c r="G183">
        <f t="shared" si="4"/>
        <v>3.629764065335753</v>
      </c>
      <c r="H183">
        <f t="shared" si="5"/>
        <v>0</v>
      </c>
    </row>
    <row r="184" spans="1:8" x14ac:dyDescent="0.25">
      <c r="A184" s="2">
        <v>-1</v>
      </c>
      <c r="B184">
        <v>9</v>
      </c>
      <c r="C184">
        <f>(Call!$D$1-Call!$A$1)/365</f>
        <v>0.20547945205479451</v>
      </c>
      <c r="D184">
        <v>0.05</v>
      </c>
      <c r="E184">
        <v>14.25</v>
      </c>
      <c r="F184">
        <v>3</v>
      </c>
      <c r="G184">
        <f t="shared" si="4"/>
        <v>0.63157894736842102</v>
      </c>
      <c r="H184">
        <f t="shared" si="5"/>
        <v>1</v>
      </c>
    </row>
    <row r="185" spans="1:8" x14ac:dyDescent="0.25">
      <c r="A185" s="2">
        <v>-1</v>
      </c>
      <c r="B185">
        <v>10</v>
      </c>
      <c r="C185">
        <f>(Call!$D$1-Call!$A$1)/365</f>
        <v>0.20547945205479451</v>
      </c>
      <c r="D185">
        <v>0.08</v>
      </c>
      <c r="E185">
        <v>14.25</v>
      </c>
      <c r="F185">
        <v>3</v>
      </c>
      <c r="G185">
        <f t="shared" si="4"/>
        <v>0.70175438596491224</v>
      </c>
      <c r="H185">
        <f t="shared" si="5"/>
        <v>1</v>
      </c>
    </row>
    <row r="186" spans="1:8" x14ac:dyDescent="0.25">
      <c r="A186" s="2">
        <v>-1</v>
      </c>
      <c r="B186">
        <v>11</v>
      </c>
      <c r="C186">
        <f>(Call!$D$1-Call!$A$1)/365</f>
        <v>0.20547945205479451</v>
      </c>
      <c r="D186">
        <v>0.28000000000000003</v>
      </c>
      <c r="E186">
        <v>14.25</v>
      </c>
      <c r="F186">
        <v>3</v>
      </c>
      <c r="G186">
        <f t="shared" si="4"/>
        <v>0.77192982456140347</v>
      </c>
      <c r="H186">
        <f t="shared" si="5"/>
        <v>1</v>
      </c>
    </row>
    <row r="187" spans="1:8" x14ac:dyDescent="0.25">
      <c r="A187" s="2">
        <v>-1</v>
      </c>
      <c r="B187">
        <v>12</v>
      </c>
      <c r="C187">
        <f>(Call!$D$1-Call!$A$1)/365</f>
        <v>0.20547945205479451</v>
      </c>
      <c r="D187">
        <v>0.67</v>
      </c>
      <c r="E187">
        <v>14.25</v>
      </c>
      <c r="F187">
        <v>3</v>
      </c>
      <c r="G187">
        <f t="shared" si="4"/>
        <v>0.84210526315789469</v>
      </c>
      <c r="H187">
        <f t="shared" si="5"/>
        <v>1</v>
      </c>
    </row>
    <row r="188" spans="1:8" x14ac:dyDescent="0.25">
      <c r="A188" s="2">
        <v>-1</v>
      </c>
      <c r="B188">
        <v>13</v>
      </c>
      <c r="C188">
        <f>(Call!$D$1-Call!$A$1)/365</f>
        <v>0.20547945205479451</v>
      </c>
      <c r="D188">
        <v>1.22</v>
      </c>
      <c r="E188">
        <v>14.25</v>
      </c>
      <c r="F188">
        <v>3</v>
      </c>
      <c r="G188">
        <f t="shared" si="4"/>
        <v>0.91228070175438591</v>
      </c>
      <c r="H188">
        <f t="shared" si="5"/>
        <v>1</v>
      </c>
    </row>
    <row r="189" spans="1:8" x14ac:dyDescent="0.25">
      <c r="A189" s="2">
        <v>-1</v>
      </c>
      <c r="B189">
        <v>14</v>
      </c>
      <c r="C189">
        <f>(Call!$D$1-Call!$A$1)/365</f>
        <v>0.20547945205479451</v>
      </c>
      <c r="D189">
        <v>1.9</v>
      </c>
      <c r="E189">
        <v>14.25</v>
      </c>
      <c r="F189">
        <v>3</v>
      </c>
      <c r="G189">
        <f t="shared" si="4"/>
        <v>0.98245614035087714</v>
      </c>
      <c r="H189">
        <f t="shared" si="5"/>
        <v>1</v>
      </c>
    </row>
    <row r="190" spans="1:8" hidden="1" x14ac:dyDescent="0.25">
      <c r="A190" s="2">
        <v>-1</v>
      </c>
      <c r="B190">
        <v>15</v>
      </c>
      <c r="C190">
        <f>(Call!$D$1-Call!$A$1)/365</f>
        <v>0.20547945205479451</v>
      </c>
      <c r="D190">
        <v>2.6</v>
      </c>
      <c r="E190">
        <v>14.25</v>
      </c>
      <c r="F190">
        <v>3</v>
      </c>
      <c r="G190">
        <f t="shared" si="4"/>
        <v>1.0526315789473684</v>
      </c>
      <c r="H190">
        <f t="shared" si="5"/>
        <v>0</v>
      </c>
    </row>
    <row r="191" spans="1:8" hidden="1" x14ac:dyDescent="0.25">
      <c r="A191" s="2">
        <v>-1</v>
      </c>
      <c r="B191">
        <v>16</v>
      </c>
      <c r="C191">
        <f>(Call!$D$1-Call!$A$1)/365</f>
        <v>0.20547945205479451</v>
      </c>
      <c r="D191">
        <v>3.4</v>
      </c>
      <c r="E191">
        <v>14.25</v>
      </c>
      <c r="F191">
        <v>3</v>
      </c>
      <c r="G191">
        <f t="shared" si="4"/>
        <v>1.1228070175438596</v>
      </c>
      <c r="H191">
        <f t="shared" si="5"/>
        <v>0</v>
      </c>
    </row>
    <row r="192" spans="1:8" hidden="1" x14ac:dyDescent="0.25">
      <c r="A192" s="2">
        <v>-1</v>
      </c>
      <c r="B192">
        <v>17</v>
      </c>
      <c r="C192">
        <f>(Call!$D$1-Call!$A$1)/365</f>
        <v>0.20547945205479451</v>
      </c>
      <c r="D192">
        <v>4.2</v>
      </c>
      <c r="E192">
        <v>14.25</v>
      </c>
      <c r="F192">
        <v>3</v>
      </c>
      <c r="G192">
        <f t="shared" si="4"/>
        <v>1.1929824561403508</v>
      </c>
      <c r="H192">
        <f t="shared" si="5"/>
        <v>0</v>
      </c>
    </row>
    <row r="193" spans="1:8" hidden="1" x14ac:dyDescent="0.25">
      <c r="A193" s="2">
        <v>-1</v>
      </c>
      <c r="B193">
        <v>18</v>
      </c>
      <c r="C193">
        <f>(Call!$D$1-Call!$A$1)/365</f>
        <v>0.20547945205479451</v>
      </c>
      <c r="D193">
        <v>5</v>
      </c>
      <c r="E193">
        <v>14.25</v>
      </c>
      <c r="F193">
        <v>3</v>
      </c>
      <c r="G193">
        <f t="shared" si="4"/>
        <v>1.263157894736842</v>
      </c>
      <c r="H193">
        <f t="shared" si="5"/>
        <v>0</v>
      </c>
    </row>
    <row r="194" spans="1:8" hidden="1" x14ac:dyDescent="0.25">
      <c r="A194" s="2">
        <v>-1</v>
      </c>
      <c r="B194">
        <v>19</v>
      </c>
      <c r="C194">
        <f>(Call!$D$1-Call!$A$1)/365</f>
        <v>0.20547945205479451</v>
      </c>
      <c r="D194">
        <v>5.9</v>
      </c>
      <c r="E194">
        <v>14.25</v>
      </c>
      <c r="F194">
        <v>3</v>
      </c>
      <c r="G194">
        <f t="shared" si="4"/>
        <v>1.3333333333333333</v>
      </c>
      <c r="H194">
        <f t="shared" si="5"/>
        <v>0</v>
      </c>
    </row>
    <row r="195" spans="1:8" hidden="1" x14ac:dyDescent="0.25">
      <c r="A195" s="2">
        <v>-1</v>
      </c>
      <c r="B195">
        <v>20</v>
      </c>
      <c r="C195">
        <f>(Call!$D$1-Call!$A$1)/365</f>
        <v>0.20547945205479451</v>
      </c>
      <c r="D195">
        <v>6.8</v>
      </c>
      <c r="E195">
        <v>14.25</v>
      </c>
      <c r="F195">
        <v>3</v>
      </c>
      <c r="G195">
        <f t="shared" ref="G195:G258" si="6">B195/E195</f>
        <v>1.4035087719298245</v>
      </c>
      <c r="H195">
        <f t="shared" ref="H195:H258" si="7">IF(A195=1,IF(E195&gt;B195,0,1),IF(E195&gt;B195,1,0))</f>
        <v>0</v>
      </c>
    </row>
    <row r="196" spans="1:8" hidden="1" x14ac:dyDescent="0.25">
      <c r="A196" s="2">
        <v>-1</v>
      </c>
      <c r="B196">
        <v>21</v>
      </c>
      <c r="C196">
        <f>(Call!$D$1-Call!$A$1)/365</f>
        <v>0.20547945205479451</v>
      </c>
      <c r="D196">
        <v>7.7</v>
      </c>
      <c r="E196">
        <v>14.25</v>
      </c>
      <c r="F196">
        <v>3</v>
      </c>
      <c r="G196">
        <f t="shared" si="6"/>
        <v>1.4736842105263157</v>
      </c>
      <c r="H196">
        <f t="shared" si="7"/>
        <v>0</v>
      </c>
    </row>
    <row r="197" spans="1:8" hidden="1" x14ac:dyDescent="0.25">
      <c r="A197" s="2">
        <v>-1</v>
      </c>
      <c r="B197">
        <v>22</v>
      </c>
      <c r="C197">
        <f>(Call!$D$1-Call!$A$1)/365</f>
        <v>0.20547945205479451</v>
      </c>
      <c r="D197">
        <v>8.6</v>
      </c>
      <c r="E197">
        <v>14.25</v>
      </c>
      <c r="F197">
        <v>3</v>
      </c>
      <c r="G197">
        <f t="shared" si="6"/>
        <v>1.5438596491228069</v>
      </c>
      <c r="H197">
        <f t="shared" si="7"/>
        <v>0</v>
      </c>
    </row>
    <row r="198" spans="1:8" hidden="1" x14ac:dyDescent="0.25">
      <c r="A198" s="2">
        <v>-1</v>
      </c>
      <c r="B198">
        <v>23</v>
      </c>
      <c r="C198">
        <f>(Call!$D$1-Call!$A$1)/365</f>
        <v>0.20547945205479451</v>
      </c>
      <c r="D198">
        <v>9.5</v>
      </c>
      <c r="E198">
        <v>14.25</v>
      </c>
      <c r="F198">
        <v>3</v>
      </c>
      <c r="G198">
        <f t="shared" si="6"/>
        <v>1.6140350877192982</v>
      </c>
      <c r="H198">
        <f t="shared" si="7"/>
        <v>0</v>
      </c>
    </row>
    <row r="199" spans="1:8" hidden="1" x14ac:dyDescent="0.25">
      <c r="A199" s="2">
        <v>-1</v>
      </c>
      <c r="B199">
        <v>24</v>
      </c>
      <c r="C199">
        <f>(Call!$D$1-Call!$A$1)/365</f>
        <v>0.20547945205479451</v>
      </c>
      <c r="D199">
        <v>10.45</v>
      </c>
      <c r="E199">
        <v>14.25</v>
      </c>
      <c r="F199">
        <v>3</v>
      </c>
      <c r="G199">
        <f t="shared" si="6"/>
        <v>1.6842105263157894</v>
      </c>
      <c r="H199">
        <f t="shared" si="7"/>
        <v>0</v>
      </c>
    </row>
    <row r="200" spans="1:8" hidden="1" x14ac:dyDescent="0.25">
      <c r="A200" s="2">
        <v>-1</v>
      </c>
      <c r="B200">
        <v>25</v>
      </c>
      <c r="C200">
        <f>(Call!$D$1-Call!$A$1)/365</f>
        <v>0.20547945205479451</v>
      </c>
      <c r="D200">
        <v>11.4</v>
      </c>
      <c r="E200">
        <v>14.25</v>
      </c>
      <c r="F200">
        <v>3</v>
      </c>
      <c r="G200">
        <f t="shared" si="6"/>
        <v>1.7543859649122806</v>
      </c>
      <c r="H200">
        <f t="shared" si="7"/>
        <v>0</v>
      </c>
    </row>
    <row r="201" spans="1:8" hidden="1" x14ac:dyDescent="0.25">
      <c r="A201" s="2">
        <v>-1</v>
      </c>
      <c r="B201">
        <v>26</v>
      </c>
      <c r="C201">
        <f>(Call!$D$1-Call!$A$1)/365</f>
        <v>0.20547945205479451</v>
      </c>
      <c r="D201">
        <v>12.3</v>
      </c>
      <c r="E201">
        <v>14.25</v>
      </c>
      <c r="F201">
        <v>3</v>
      </c>
      <c r="G201">
        <f t="shared" si="6"/>
        <v>1.8245614035087718</v>
      </c>
      <c r="H201">
        <f t="shared" si="7"/>
        <v>0</v>
      </c>
    </row>
    <row r="202" spans="1:8" hidden="1" x14ac:dyDescent="0.25">
      <c r="A202" s="2">
        <v>-1</v>
      </c>
      <c r="B202">
        <v>27</v>
      </c>
      <c r="C202">
        <f>(Call!$D$1-Call!$A$1)/365</f>
        <v>0.20547945205479451</v>
      </c>
      <c r="D202">
        <v>13.3</v>
      </c>
      <c r="E202">
        <v>14.25</v>
      </c>
      <c r="F202">
        <v>3</v>
      </c>
      <c r="G202">
        <f t="shared" si="6"/>
        <v>1.8947368421052631</v>
      </c>
      <c r="H202">
        <f t="shared" si="7"/>
        <v>0</v>
      </c>
    </row>
    <row r="203" spans="1:8" hidden="1" x14ac:dyDescent="0.25">
      <c r="A203" s="2">
        <v>-1</v>
      </c>
      <c r="B203">
        <v>28</v>
      </c>
      <c r="C203">
        <f>(Call!$D$1-Call!$A$1)/365</f>
        <v>0.20547945205479451</v>
      </c>
      <c r="D203">
        <v>14.25</v>
      </c>
      <c r="E203">
        <v>14.25</v>
      </c>
      <c r="F203">
        <v>3</v>
      </c>
      <c r="G203">
        <f t="shared" si="6"/>
        <v>1.9649122807017543</v>
      </c>
      <c r="H203">
        <f t="shared" si="7"/>
        <v>0</v>
      </c>
    </row>
    <row r="204" spans="1:8" hidden="1" x14ac:dyDescent="0.25">
      <c r="A204" s="2">
        <v>-1</v>
      </c>
      <c r="B204">
        <v>29</v>
      </c>
      <c r="C204">
        <f>(Call!$D$1-Call!$A$1)/365</f>
        <v>0.20547945205479451</v>
      </c>
      <c r="D204">
        <v>15.2</v>
      </c>
      <c r="E204">
        <v>14.25</v>
      </c>
      <c r="F204">
        <v>3</v>
      </c>
      <c r="G204">
        <f t="shared" si="6"/>
        <v>2.0350877192982457</v>
      </c>
      <c r="H204">
        <f t="shared" si="7"/>
        <v>0</v>
      </c>
    </row>
    <row r="205" spans="1:8" hidden="1" x14ac:dyDescent="0.25">
      <c r="A205" s="2">
        <v>-1</v>
      </c>
      <c r="B205">
        <v>30</v>
      </c>
      <c r="C205">
        <f>(Call!$D$1-Call!$A$1)/365</f>
        <v>0.20547945205479451</v>
      </c>
      <c r="D205">
        <v>16.149999999999999</v>
      </c>
      <c r="E205">
        <v>14.25</v>
      </c>
      <c r="F205">
        <v>3</v>
      </c>
      <c r="G205">
        <f t="shared" si="6"/>
        <v>2.1052631578947367</v>
      </c>
      <c r="H205">
        <f t="shared" si="7"/>
        <v>0</v>
      </c>
    </row>
    <row r="206" spans="1:8" hidden="1" x14ac:dyDescent="0.25">
      <c r="A206" s="2">
        <v>-1</v>
      </c>
      <c r="B206">
        <v>35</v>
      </c>
      <c r="C206">
        <f>(Call!$D$1-Call!$A$1)/365</f>
        <v>0.20547945205479451</v>
      </c>
      <c r="D206">
        <v>21</v>
      </c>
      <c r="E206">
        <v>14.25</v>
      </c>
      <c r="F206">
        <v>3</v>
      </c>
      <c r="G206">
        <f t="shared" si="6"/>
        <v>2.4561403508771931</v>
      </c>
      <c r="H206">
        <f t="shared" si="7"/>
        <v>0</v>
      </c>
    </row>
    <row r="207" spans="1:8" hidden="1" x14ac:dyDescent="0.25">
      <c r="A207" s="2">
        <v>-1</v>
      </c>
      <c r="B207">
        <v>40</v>
      </c>
      <c r="C207">
        <f>(Call!$D$1-Call!$A$1)/365</f>
        <v>0.20547945205479451</v>
      </c>
      <c r="D207">
        <v>25.9</v>
      </c>
      <c r="E207">
        <v>14.25</v>
      </c>
      <c r="F207">
        <v>3</v>
      </c>
      <c r="G207">
        <f t="shared" si="6"/>
        <v>2.807017543859649</v>
      </c>
      <c r="H207">
        <f t="shared" si="7"/>
        <v>0</v>
      </c>
    </row>
    <row r="208" spans="1:8" hidden="1" x14ac:dyDescent="0.25">
      <c r="A208" s="2">
        <v>-1</v>
      </c>
      <c r="B208">
        <v>45</v>
      </c>
      <c r="C208">
        <f>(Call!$D$1-Call!$A$1)/365</f>
        <v>0.20547945205479451</v>
      </c>
      <c r="D208">
        <v>30.85</v>
      </c>
      <c r="E208">
        <v>14.25</v>
      </c>
      <c r="F208">
        <v>3</v>
      </c>
      <c r="G208">
        <f t="shared" si="6"/>
        <v>3.1578947368421053</v>
      </c>
      <c r="H208">
        <f t="shared" si="7"/>
        <v>0</v>
      </c>
    </row>
    <row r="209" spans="1:8" hidden="1" x14ac:dyDescent="0.25">
      <c r="A209" s="2">
        <v>-1</v>
      </c>
      <c r="B209">
        <v>50</v>
      </c>
      <c r="C209">
        <f>(Call!$D$1-Call!$A$1)/365</f>
        <v>0.20547945205479451</v>
      </c>
      <c r="D209">
        <v>35.75</v>
      </c>
      <c r="E209">
        <v>14.25</v>
      </c>
      <c r="F209">
        <v>3</v>
      </c>
      <c r="G209">
        <f t="shared" si="6"/>
        <v>3.5087719298245612</v>
      </c>
      <c r="H209">
        <f t="shared" si="7"/>
        <v>0</v>
      </c>
    </row>
    <row r="210" spans="1:8" x14ac:dyDescent="0.25">
      <c r="A210" s="2">
        <v>-1</v>
      </c>
      <c r="B210">
        <v>9</v>
      </c>
      <c r="C210">
        <f>(Call!$E$1-Call!$A$1)/365</f>
        <v>0.30136986301369861</v>
      </c>
      <c r="D210">
        <v>0.05</v>
      </c>
      <c r="E210">
        <v>14.425000000000001</v>
      </c>
      <c r="F210">
        <v>4</v>
      </c>
      <c r="G210">
        <f t="shared" si="6"/>
        <v>0.62391681109185437</v>
      </c>
      <c r="H210">
        <f t="shared" si="7"/>
        <v>1</v>
      </c>
    </row>
    <row r="211" spans="1:8" x14ac:dyDescent="0.25">
      <c r="A211" s="2">
        <v>-1</v>
      </c>
      <c r="B211">
        <v>10</v>
      </c>
      <c r="C211">
        <f>(Call!$E$1-Call!$A$1)/365</f>
        <v>0.30136986301369861</v>
      </c>
      <c r="D211">
        <v>0.13</v>
      </c>
      <c r="E211">
        <v>14.425000000000001</v>
      </c>
      <c r="F211">
        <v>4</v>
      </c>
      <c r="G211">
        <f t="shared" si="6"/>
        <v>0.6932409012131715</v>
      </c>
      <c r="H211">
        <f t="shared" si="7"/>
        <v>1</v>
      </c>
    </row>
    <row r="212" spans="1:8" x14ac:dyDescent="0.25">
      <c r="A212" s="2">
        <v>-1</v>
      </c>
      <c r="B212">
        <v>11</v>
      </c>
      <c r="C212">
        <f>(Call!$E$1-Call!$A$1)/365</f>
        <v>0.30136986301369861</v>
      </c>
      <c r="D212">
        <v>0.35</v>
      </c>
      <c r="E212">
        <v>14.425000000000001</v>
      </c>
      <c r="F212">
        <v>4</v>
      </c>
      <c r="G212">
        <f t="shared" si="6"/>
        <v>0.76256499133448874</v>
      </c>
      <c r="H212">
        <f t="shared" si="7"/>
        <v>1</v>
      </c>
    </row>
    <row r="213" spans="1:8" x14ac:dyDescent="0.25">
      <c r="A213" s="2">
        <v>-1</v>
      </c>
      <c r="B213">
        <v>12</v>
      </c>
      <c r="C213">
        <f>(Call!$E$1-Call!$A$1)/365</f>
        <v>0.30136986301369861</v>
      </c>
      <c r="D213">
        <v>0.75</v>
      </c>
      <c r="E213">
        <v>14.425000000000001</v>
      </c>
      <c r="F213">
        <v>4</v>
      </c>
      <c r="G213">
        <f t="shared" si="6"/>
        <v>0.83188908145580587</v>
      </c>
      <c r="H213">
        <f t="shared" si="7"/>
        <v>1</v>
      </c>
    </row>
    <row r="214" spans="1:8" x14ac:dyDescent="0.25">
      <c r="A214" s="2">
        <v>-1</v>
      </c>
      <c r="B214">
        <v>13</v>
      </c>
      <c r="C214">
        <f>(Call!$E$1-Call!$A$1)/365</f>
        <v>0.30136986301369861</v>
      </c>
      <c r="D214">
        <v>1.3</v>
      </c>
      <c r="E214">
        <v>14.425000000000001</v>
      </c>
      <c r="F214">
        <v>4</v>
      </c>
      <c r="G214">
        <f t="shared" si="6"/>
        <v>0.901213171577123</v>
      </c>
      <c r="H214">
        <f t="shared" si="7"/>
        <v>1</v>
      </c>
    </row>
    <row r="215" spans="1:8" x14ac:dyDescent="0.25">
      <c r="A215" s="2">
        <v>-1</v>
      </c>
      <c r="B215">
        <v>14</v>
      </c>
      <c r="C215">
        <f>(Call!$E$1-Call!$A$1)/365</f>
        <v>0.30136986301369861</v>
      </c>
      <c r="D215">
        <v>1.95</v>
      </c>
      <c r="E215">
        <v>14.425000000000001</v>
      </c>
      <c r="F215">
        <v>4</v>
      </c>
      <c r="G215">
        <f t="shared" si="6"/>
        <v>0.97053726169844012</v>
      </c>
      <c r="H215">
        <f t="shared" si="7"/>
        <v>1</v>
      </c>
    </row>
    <row r="216" spans="1:8" hidden="1" x14ac:dyDescent="0.25">
      <c r="A216" s="2">
        <v>-1</v>
      </c>
      <c r="B216">
        <v>15</v>
      </c>
      <c r="C216">
        <f>(Call!$E$1-Call!$A$1)/365</f>
        <v>0.30136986301369861</v>
      </c>
      <c r="D216">
        <v>2.65</v>
      </c>
      <c r="E216">
        <v>14.425000000000001</v>
      </c>
      <c r="F216">
        <v>4</v>
      </c>
      <c r="G216">
        <f t="shared" si="6"/>
        <v>1.0398613518197573</v>
      </c>
      <c r="H216">
        <f t="shared" si="7"/>
        <v>0</v>
      </c>
    </row>
    <row r="217" spans="1:8" hidden="1" x14ac:dyDescent="0.25">
      <c r="A217" s="2">
        <v>-1</v>
      </c>
      <c r="B217">
        <v>16</v>
      </c>
      <c r="C217">
        <f>(Call!$E$1-Call!$A$1)/365</f>
        <v>0.30136986301369861</v>
      </c>
      <c r="D217">
        <v>3.4</v>
      </c>
      <c r="E217">
        <v>14.425000000000001</v>
      </c>
      <c r="F217">
        <v>4</v>
      </c>
      <c r="G217">
        <f t="shared" si="6"/>
        <v>1.1091854419410745</v>
      </c>
      <c r="H217">
        <f t="shared" si="7"/>
        <v>0</v>
      </c>
    </row>
    <row r="218" spans="1:8" hidden="1" x14ac:dyDescent="0.25">
      <c r="A218" s="2">
        <v>-1</v>
      </c>
      <c r="B218">
        <v>17</v>
      </c>
      <c r="C218">
        <f>(Call!$E$1-Call!$A$1)/365</f>
        <v>0.30136986301369861</v>
      </c>
      <c r="D218">
        <v>4.2</v>
      </c>
      <c r="E218">
        <v>14.425000000000001</v>
      </c>
      <c r="F218">
        <v>4</v>
      </c>
      <c r="G218">
        <f t="shared" si="6"/>
        <v>1.1785095320623917</v>
      </c>
      <c r="H218">
        <f t="shared" si="7"/>
        <v>0</v>
      </c>
    </row>
    <row r="219" spans="1:8" hidden="1" x14ac:dyDescent="0.25">
      <c r="A219" s="2">
        <v>-1</v>
      </c>
      <c r="B219">
        <v>18</v>
      </c>
      <c r="C219">
        <f>(Call!$E$1-Call!$A$1)/365</f>
        <v>0.30136986301369861</v>
      </c>
      <c r="D219">
        <v>5</v>
      </c>
      <c r="E219">
        <v>14.425000000000001</v>
      </c>
      <c r="F219">
        <v>4</v>
      </c>
      <c r="G219">
        <f t="shared" si="6"/>
        <v>1.2478336221837087</v>
      </c>
      <c r="H219">
        <f t="shared" si="7"/>
        <v>0</v>
      </c>
    </row>
    <row r="220" spans="1:8" hidden="1" x14ac:dyDescent="0.25">
      <c r="A220" s="2">
        <v>-1</v>
      </c>
      <c r="B220">
        <v>19</v>
      </c>
      <c r="C220">
        <f>(Call!$E$1-Call!$A$1)/365</f>
        <v>0.30136986301369861</v>
      </c>
      <c r="D220">
        <v>5.9</v>
      </c>
      <c r="E220">
        <v>14.425000000000001</v>
      </c>
      <c r="F220">
        <v>4</v>
      </c>
      <c r="G220">
        <f t="shared" si="6"/>
        <v>1.317157712305026</v>
      </c>
      <c r="H220">
        <f t="shared" si="7"/>
        <v>0</v>
      </c>
    </row>
    <row r="221" spans="1:8" hidden="1" x14ac:dyDescent="0.25">
      <c r="A221" s="2">
        <v>-1</v>
      </c>
      <c r="B221">
        <v>20</v>
      </c>
      <c r="C221">
        <f>(Call!$E$1-Call!$A$1)/365</f>
        <v>0.30136986301369861</v>
      </c>
      <c r="D221">
        <v>6.8</v>
      </c>
      <c r="E221">
        <v>14.425000000000001</v>
      </c>
      <c r="F221">
        <v>4</v>
      </c>
      <c r="G221">
        <f t="shared" si="6"/>
        <v>1.386481802426343</v>
      </c>
      <c r="H221">
        <f t="shared" si="7"/>
        <v>0</v>
      </c>
    </row>
    <row r="222" spans="1:8" hidden="1" x14ac:dyDescent="0.25">
      <c r="A222" s="2">
        <v>-1</v>
      </c>
      <c r="B222">
        <v>21</v>
      </c>
      <c r="C222">
        <f>(Call!$E$1-Call!$A$1)/365</f>
        <v>0.30136986301369861</v>
      </c>
      <c r="D222">
        <v>7.6</v>
      </c>
      <c r="E222">
        <v>14.425000000000001</v>
      </c>
      <c r="F222">
        <v>4</v>
      </c>
      <c r="G222">
        <f t="shared" si="6"/>
        <v>1.4558058925476602</v>
      </c>
      <c r="H222">
        <f t="shared" si="7"/>
        <v>0</v>
      </c>
    </row>
    <row r="223" spans="1:8" hidden="1" x14ac:dyDescent="0.25">
      <c r="A223" s="2">
        <v>-1</v>
      </c>
      <c r="B223">
        <v>22</v>
      </c>
      <c r="C223">
        <f>(Call!$E$1-Call!$A$1)/365</f>
        <v>0.30136986301369861</v>
      </c>
      <c r="D223">
        <v>8.5</v>
      </c>
      <c r="E223">
        <v>14.425000000000001</v>
      </c>
      <c r="F223">
        <v>4</v>
      </c>
      <c r="G223">
        <f t="shared" si="6"/>
        <v>1.5251299826689775</v>
      </c>
      <c r="H223">
        <f t="shared" si="7"/>
        <v>0</v>
      </c>
    </row>
    <row r="224" spans="1:8" hidden="1" x14ac:dyDescent="0.25">
      <c r="A224" s="2">
        <v>-1</v>
      </c>
      <c r="B224">
        <v>23</v>
      </c>
      <c r="C224">
        <f>(Call!$E$1-Call!$A$1)/365</f>
        <v>0.30136986301369861</v>
      </c>
      <c r="D224">
        <v>9.4499999999999993</v>
      </c>
      <c r="E224">
        <v>14.425000000000001</v>
      </c>
      <c r="F224">
        <v>4</v>
      </c>
      <c r="G224">
        <f t="shared" si="6"/>
        <v>1.5944540727902945</v>
      </c>
      <c r="H224">
        <f t="shared" si="7"/>
        <v>0</v>
      </c>
    </row>
    <row r="225" spans="1:8" hidden="1" x14ac:dyDescent="0.25">
      <c r="A225" s="2">
        <v>-1</v>
      </c>
      <c r="B225">
        <v>24</v>
      </c>
      <c r="C225">
        <f>(Call!$E$1-Call!$A$1)/365</f>
        <v>0.30136986301369861</v>
      </c>
      <c r="D225">
        <v>10.4</v>
      </c>
      <c r="E225">
        <v>14.425000000000001</v>
      </c>
      <c r="F225">
        <v>4</v>
      </c>
      <c r="G225">
        <f t="shared" si="6"/>
        <v>1.6637781629116117</v>
      </c>
      <c r="H225">
        <f t="shared" si="7"/>
        <v>0</v>
      </c>
    </row>
    <row r="226" spans="1:8" hidden="1" x14ac:dyDescent="0.25">
      <c r="A226" s="2">
        <v>-1</v>
      </c>
      <c r="B226">
        <v>25</v>
      </c>
      <c r="C226">
        <f>(Call!$E$1-Call!$A$1)/365</f>
        <v>0.30136986301369861</v>
      </c>
      <c r="D226">
        <v>11.3</v>
      </c>
      <c r="E226">
        <v>14.425000000000001</v>
      </c>
      <c r="F226">
        <v>4</v>
      </c>
      <c r="G226">
        <f t="shared" si="6"/>
        <v>1.7331022530329288</v>
      </c>
      <c r="H226">
        <f t="shared" si="7"/>
        <v>0</v>
      </c>
    </row>
    <row r="227" spans="1:8" hidden="1" x14ac:dyDescent="0.25">
      <c r="A227" s="2">
        <v>-1</v>
      </c>
      <c r="B227">
        <v>26</v>
      </c>
      <c r="C227">
        <f>(Call!$E$1-Call!$A$1)/365</f>
        <v>0.30136986301369861</v>
      </c>
      <c r="D227">
        <v>12.2</v>
      </c>
      <c r="E227">
        <v>14.425000000000001</v>
      </c>
      <c r="F227">
        <v>4</v>
      </c>
      <c r="G227">
        <f t="shared" si="6"/>
        <v>1.802426343154246</v>
      </c>
      <c r="H227">
        <f t="shared" si="7"/>
        <v>0</v>
      </c>
    </row>
    <row r="228" spans="1:8" hidden="1" x14ac:dyDescent="0.25">
      <c r="A228" s="2">
        <v>-1</v>
      </c>
      <c r="B228">
        <v>27</v>
      </c>
      <c r="C228">
        <f>(Call!$E$1-Call!$A$1)/365</f>
        <v>0.30136986301369861</v>
      </c>
      <c r="D228">
        <v>13.15</v>
      </c>
      <c r="E228">
        <v>14.425000000000001</v>
      </c>
      <c r="F228">
        <v>4</v>
      </c>
      <c r="G228">
        <f t="shared" si="6"/>
        <v>1.8717504332755632</v>
      </c>
      <c r="H228">
        <f t="shared" si="7"/>
        <v>0</v>
      </c>
    </row>
    <row r="229" spans="1:8" hidden="1" x14ac:dyDescent="0.25">
      <c r="A229" s="2">
        <v>-1</v>
      </c>
      <c r="B229">
        <v>28</v>
      </c>
      <c r="C229">
        <f>(Call!$E$1-Call!$A$1)/365</f>
        <v>0.30136986301369861</v>
      </c>
      <c r="D229">
        <v>14.1</v>
      </c>
      <c r="E229">
        <v>14.425000000000001</v>
      </c>
      <c r="F229">
        <v>4</v>
      </c>
      <c r="G229">
        <f t="shared" si="6"/>
        <v>1.9410745233968802</v>
      </c>
      <c r="H229">
        <f t="shared" si="7"/>
        <v>0</v>
      </c>
    </row>
    <row r="230" spans="1:8" hidden="1" x14ac:dyDescent="0.25">
      <c r="A230" s="2">
        <v>-1</v>
      </c>
      <c r="B230">
        <v>29</v>
      </c>
      <c r="C230">
        <f>(Call!$E$1-Call!$A$1)/365</f>
        <v>0.30136986301369861</v>
      </c>
      <c r="D230">
        <v>15.05</v>
      </c>
      <c r="E230">
        <v>14.425000000000001</v>
      </c>
      <c r="F230">
        <v>4</v>
      </c>
      <c r="G230">
        <f t="shared" si="6"/>
        <v>2.0103986135181975</v>
      </c>
      <c r="H230">
        <f t="shared" si="7"/>
        <v>0</v>
      </c>
    </row>
    <row r="231" spans="1:8" hidden="1" x14ac:dyDescent="0.25">
      <c r="A231" s="2">
        <v>-1</v>
      </c>
      <c r="B231">
        <v>30</v>
      </c>
      <c r="C231">
        <f>(Call!$E$1-Call!$A$1)/365</f>
        <v>0.30136986301369861</v>
      </c>
      <c r="D231">
        <v>16</v>
      </c>
      <c r="E231">
        <v>14.425000000000001</v>
      </c>
      <c r="F231">
        <v>4</v>
      </c>
      <c r="G231">
        <f t="shared" si="6"/>
        <v>2.0797227036395145</v>
      </c>
      <c r="H231">
        <f t="shared" si="7"/>
        <v>0</v>
      </c>
    </row>
    <row r="232" spans="1:8" hidden="1" x14ac:dyDescent="0.25">
      <c r="A232" s="2">
        <v>-1</v>
      </c>
      <c r="B232">
        <v>35</v>
      </c>
      <c r="C232">
        <f>(Call!$E$1-Call!$A$1)/365</f>
        <v>0.30136986301369861</v>
      </c>
      <c r="D232">
        <v>20.8</v>
      </c>
      <c r="E232">
        <v>14.425000000000001</v>
      </c>
      <c r="F232">
        <v>4</v>
      </c>
      <c r="G232">
        <f t="shared" si="6"/>
        <v>2.4263431542461005</v>
      </c>
      <c r="H232">
        <f t="shared" si="7"/>
        <v>0</v>
      </c>
    </row>
    <row r="233" spans="1:8" hidden="1" x14ac:dyDescent="0.25">
      <c r="A233" s="2">
        <v>-1</v>
      </c>
      <c r="B233">
        <v>40</v>
      </c>
      <c r="C233">
        <f>(Call!$E$1-Call!$A$1)/365</f>
        <v>0.30136986301369861</v>
      </c>
      <c r="D233">
        <v>25.7</v>
      </c>
      <c r="E233">
        <v>14.425000000000001</v>
      </c>
      <c r="F233">
        <v>4</v>
      </c>
      <c r="G233">
        <f t="shared" si="6"/>
        <v>2.772963604852686</v>
      </c>
      <c r="H233">
        <f t="shared" si="7"/>
        <v>0</v>
      </c>
    </row>
    <row r="234" spans="1:8" hidden="1" x14ac:dyDescent="0.25">
      <c r="A234" s="2">
        <v>-1</v>
      </c>
      <c r="B234">
        <v>45</v>
      </c>
      <c r="C234">
        <f>(Call!$E$1-Call!$A$1)/365</f>
        <v>0.30136986301369861</v>
      </c>
      <c r="D234">
        <v>30.6</v>
      </c>
      <c r="E234">
        <v>14.425000000000001</v>
      </c>
      <c r="F234">
        <v>4</v>
      </c>
      <c r="G234">
        <f t="shared" si="6"/>
        <v>3.119584055459272</v>
      </c>
      <c r="H234">
        <f t="shared" si="7"/>
        <v>0</v>
      </c>
    </row>
    <row r="235" spans="1:8" hidden="1" x14ac:dyDescent="0.25">
      <c r="A235" s="2">
        <v>-1</v>
      </c>
      <c r="B235">
        <v>50</v>
      </c>
      <c r="C235">
        <f>(Call!$E$1-Call!$A$1)/365</f>
        <v>0.30136986301369861</v>
      </c>
      <c r="D235">
        <v>35.549999999999997</v>
      </c>
      <c r="E235">
        <v>14.425000000000001</v>
      </c>
      <c r="F235">
        <v>4</v>
      </c>
      <c r="G235">
        <f t="shared" si="6"/>
        <v>3.4662045060658575</v>
      </c>
      <c r="H235">
        <f t="shared" si="7"/>
        <v>0</v>
      </c>
    </row>
    <row r="236" spans="1:8" x14ac:dyDescent="0.25">
      <c r="A236" s="2">
        <v>-1</v>
      </c>
      <c r="B236">
        <v>9</v>
      </c>
      <c r="C236">
        <f>(Call!$F$1-Call!$A$1)/365</f>
        <v>0.37808219178082192</v>
      </c>
      <c r="D236">
        <v>0.05</v>
      </c>
      <c r="E236">
        <v>15.525</v>
      </c>
      <c r="F236">
        <v>5</v>
      </c>
      <c r="G236">
        <f t="shared" si="6"/>
        <v>0.57971014492753625</v>
      </c>
      <c r="H236">
        <f t="shared" si="7"/>
        <v>1</v>
      </c>
    </row>
    <row r="237" spans="1:8" x14ac:dyDescent="0.25">
      <c r="A237" s="2">
        <v>-1</v>
      </c>
      <c r="B237">
        <v>10</v>
      </c>
      <c r="C237">
        <f>(Call!$F$1-Call!$A$1)/365</f>
        <v>0.37808219178082192</v>
      </c>
      <c r="D237">
        <v>0.08</v>
      </c>
      <c r="E237">
        <v>15.525</v>
      </c>
      <c r="F237">
        <v>5</v>
      </c>
      <c r="G237">
        <f t="shared" si="6"/>
        <v>0.64412238325281801</v>
      </c>
      <c r="H237">
        <f t="shared" si="7"/>
        <v>1</v>
      </c>
    </row>
    <row r="238" spans="1:8" x14ac:dyDescent="0.25">
      <c r="A238" s="2">
        <v>-1</v>
      </c>
      <c r="B238">
        <v>11</v>
      </c>
      <c r="C238">
        <f>(Call!$F$1-Call!$A$1)/365</f>
        <v>0.37808219178082192</v>
      </c>
      <c r="D238">
        <v>0.28000000000000003</v>
      </c>
      <c r="E238">
        <v>15.525</v>
      </c>
      <c r="F238">
        <v>5</v>
      </c>
      <c r="G238">
        <f t="shared" si="6"/>
        <v>0.70853462157809988</v>
      </c>
      <c r="H238">
        <f t="shared" si="7"/>
        <v>1</v>
      </c>
    </row>
    <row r="239" spans="1:8" x14ac:dyDescent="0.25">
      <c r="A239" s="2">
        <v>-1</v>
      </c>
      <c r="B239">
        <v>12</v>
      </c>
      <c r="C239">
        <f>(Call!$F$1-Call!$A$1)/365</f>
        <v>0.37808219178082192</v>
      </c>
      <c r="D239">
        <v>0.6</v>
      </c>
      <c r="E239">
        <v>15.525</v>
      </c>
      <c r="F239">
        <v>5</v>
      </c>
      <c r="G239">
        <f t="shared" si="6"/>
        <v>0.77294685990338163</v>
      </c>
      <c r="H239">
        <f t="shared" si="7"/>
        <v>1</v>
      </c>
    </row>
    <row r="240" spans="1:8" x14ac:dyDescent="0.25">
      <c r="A240" s="2">
        <v>-1</v>
      </c>
      <c r="B240">
        <v>13</v>
      </c>
      <c r="C240">
        <f>(Call!$F$1-Call!$A$1)/365</f>
        <v>0.37808219178082192</v>
      </c>
      <c r="D240">
        <v>1.05</v>
      </c>
      <c r="E240">
        <v>15.525</v>
      </c>
      <c r="F240">
        <v>5</v>
      </c>
      <c r="G240">
        <f t="shared" si="6"/>
        <v>0.83735909822866339</v>
      </c>
      <c r="H240">
        <f t="shared" si="7"/>
        <v>1</v>
      </c>
    </row>
    <row r="241" spans="1:8" x14ac:dyDescent="0.25">
      <c r="A241" s="2">
        <v>-1</v>
      </c>
      <c r="B241">
        <v>14</v>
      </c>
      <c r="C241">
        <f>(Call!$F$1-Call!$A$1)/365</f>
        <v>0.37808219178082192</v>
      </c>
      <c r="D241">
        <v>1.5699999999999998</v>
      </c>
      <c r="E241">
        <v>15.525</v>
      </c>
      <c r="F241">
        <v>5</v>
      </c>
      <c r="G241">
        <f t="shared" si="6"/>
        <v>0.90177133655394526</v>
      </c>
      <c r="H241">
        <f t="shared" si="7"/>
        <v>1</v>
      </c>
    </row>
    <row r="242" spans="1:8" x14ac:dyDescent="0.25">
      <c r="A242" s="2">
        <v>-1</v>
      </c>
      <c r="B242">
        <v>15</v>
      </c>
      <c r="C242">
        <f>(Call!$F$1-Call!$A$1)/365</f>
        <v>0.37808219178082192</v>
      </c>
      <c r="D242">
        <v>2.23</v>
      </c>
      <c r="E242">
        <v>15.525</v>
      </c>
      <c r="F242">
        <v>5</v>
      </c>
      <c r="G242">
        <f t="shared" si="6"/>
        <v>0.96618357487922701</v>
      </c>
      <c r="H242">
        <f t="shared" si="7"/>
        <v>1</v>
      </c>
    </row>
    <row r="243" spans="1:8" hidden="1" x14ac:dyDescent="0.25">
      <c r="A243" s="2">
        <v>-1</v>
      </c>
      <c r="B243">
        <v>16</v>
      </c>
      <c r="C243">
        <f>(Call!$F$1-Call!$A$1)/365</f>
        <v>0.37808219178082192</v>
      </c>
      <c r="D243">
        <v>2.9</v>
      </c>
      <c r="E243">
        <v>15.525</v>
      </c>
      <c r="F243">
        <v>5</v>
      </c>
      <c r="G243">
        <f t="shared" si="6"/>
        <v>1.0305958132045088</v>
      </c>
      <c r="H243">
        <f t="shared" si="7"/>
        <v>0</v>
      </c>
    </row>
    <row r="244" spans="1:8" hidden="1" x14ac:dyDescent="0.25">
      <c r="A244" s="2">
        <v>-1</v>
      </c>
      <c r="B244">
        <v>17</v>
      </c>
      <c r="C244">
        <f>(Call!$F$1-Call!$A$1)/365</f>
        <v>0.37808219178082192</v>
      </c>
      <c r="D244">
        <v>3.6</v>
      </c>
      <c r="E244">
        <v>15.525</v>
      </c>
      <c r="F244">
        <v>5</v>
      </c>
      <c r="G244">
        <f t="shared" si="6"/>
        <v>1.0950080515297906</v>
      </c>
      <c r="H244">
        <f t="shared" si="7"/>
        <v>0</v>
      </c>
    </row>
    <row r="245" spans="1:8" hidden="1" x14ac:dyDescent="0.25">
      <c r="A245" s="2">
        <v>-1</v>
      </c>
      <c r="B245">
        <v>18</v>
      </c>
      <c r="C245">
        <f>(Call!$F$1-Call!$A$1)/365</f>
        <v>0.37808219178082192</v>
      </c>
      <c r="D245">
        <v>4.4000000000000004</v>
      </c>
      <c r="E245">
        <v>15.525</v>
      </c>
      <c r="F245">
        <v>5</v>
      </c>
      <c r="G245">
        <f t="shared" si="6"/>
        <v>1.1594202898550725</v>
      </c>
      <c r="H245">
        <f t="shared" si="7"/>
        <v>0</v>
      </c>
    </row>
    <row r="246" spans="1:8" hidden="1" x14ac:dyDescent="0.25">
      <c r="A246" s="2">
        <v>-1</v>
      </c>
      <c r="B246">
        <v>19</v>
      </c>
      <c r="C246">
        <f>(Call!$F$1-Call!$A$1)/365</f>
        <v>0.37808219178082192</v>
      </c>
      <c r="D246">
        <v>5.2</v>
      </c>
      <c r="E246">
        <v>15.525</v>
      </c>
      <c r="F246">
        <v>5</v>
      </c>
      <c r="G246">
        <f t="shared" si="6"/>
        <v>1.2238325281803542</v>
      </c>
      <c r="H246">
        <f t="shared" si="7"/>
        <v>0</v>
      </c>
    </row>
    <row r="247" spans="1:8" hidden="1" x14ac:dyDescent="0.25">
      <c r="A247" s="2">
        <v>-1</v>
      </c>
      <c r="B247">
        <v>20</v>
      </c>
      <c r="C247">
        <f>(Call!$F$1-Call!$A$1)/365</f>
        <v>0.37808219178082192</v>
      </c>
      <c r="D247">
        <v>6</v>
      </c>
      <c r="E247">
        <v>15.525</v>
      </c>
      <c r="F247">
        <v>5</v>
      </c>
      <c r="G247">
        <f t="shared" si="6"/>
        <v>1.288244766505636</v>
      </c>
      <c r="H247">
        <f t="shared" si="7"/>
        <v>0</v>
      </c>
    </row>
    <row r="248" spans="1:8" hidden="1" x14ac:dyDescent="0.25">
      <c r="A248" s="2">
        <v>-1</v>
      </c>
      <c r="B248">
        <v>21</v>
      </c>
      <c r="C248">
        <f>(Call!$F$1-Call!$A$1)/365</f>
        <v>0.37808219178082192</v>
      </c>
      <c r="D248">
        <v>6.9</v>
      </c>
      <c r="E248">
        <v>15.525</v>
      </c>
      <c r="F248">
        <v>5</v>
      </c>
      <c r="G248">
        <f t="shared" si="6"/>
        <v>1.3526570048309179</v>
      </c>
      <c r="H248">
        <f t="shared" si="7"/>
        <v>0</v>
      </c>
    </row>
    <row r="249" spans="1:8" hidden="1" x14ac:dyDescent="0.25">
      <c r="A249" s="2">
        <v>-1</v>
      </c>
      <c r="B249">
        <v>22</v>
      </c>
      <c r="C249">
        <f>(Call!$F$1-Call!$A$1)/365</f>
        <v>0.37808219178082192</v>
      </c>
      <c r="D249">
        <v>7.7</v>
      </c>
      <c r="E249">
        <v>15.525</v>
      </c>
      <c r="F249">
        <v>5</v>
      </c>
      <c r="G249">
        <f t="shared" si="6"/>
        <v>1.4170692431561998</v>
      </c>
      <c r="H249">
        <f t="shared" si="7"/>
        <v>0</v>
      </c>
    </row>
    <row r="250" spans="1:8" hidden="1" x14ac:dyDescent="0.25">
      <c r="A250" s="2">
        <v>-1</v>
      </c>
      <c r="B250">
        <v>23</v>
      </c>
      <c r="C250">
        <f>(Call!$F$1-Call!$A$1)/365</f>
        <v>0.37808219178082192</v>
      </c>
      <c r="D250">
        <v>8.6</v>
      </c>
      <c r="E250">
        <v>15.525</v>
      </c>
      <c r="F250">
        <v>5</v>
      </c>
      <c r="G250">
        <f t="shared" si="6"/>
        <v>1.4814814814814814</v>
      </c>
      <c r="H250">
        <f t="shared" si="7"/>
        <v>0</v>
      </c>
    </row>
    <row r="251" spans="1:8" hidden="1" x14ac:dyDescent="0.25">
      <c r="A251" s="2">
        <v>-1</v>
      </c>
      <c r="B251">
        <v>24</v>
      </c>
      <c r="C251">
        <f>(Call!$F$1-Call!$A$1)/365</f>
        <v>0.37808219178082192</v>
      </c>
      <c r="D251">
        <v>9.5</v>
      </c>
      <c r="E251">
        <v>15.525</v>
      </c>
      <c r="F251">
        <v>5</v>
      </c>
      <c r="G251">
        <f t="shared" si="6"/>
        <v>1.5458937198067633</v>
      </c>
      <c r="H251">
        <f t="shared" si="7"/>
        <v>0</v>
      </c>
    </row>
    <row r="252" spans="1:8" hidden="1" x14ac:dyDescent="0.25">
      <c r="A252" s="2">
        <v>-1</v>
      </c>
      <c r="B252">
        <v>25</v>
      </c>
      <c r="C252">
        <f>(Call!$F$1-Call!$A$1)/365</f>
        <v>0.37808219178082192</v>
      </c>
      <c r="D252">
        <v>10.4</v>
      </c>
      <c r="E252">
        <v>15.525</v>
      </c>
      <c r="F252">
        <v>5</v>
      </c>
      <c r="G252">
        <f t="shared" si="6"/>
        <v>1.6103059581320451</v>
      </c>
      <c r="H252">
        <f t="shared" si="7"/>
        <v>0</v>
      </c>
    </row>
    <row r="253" spans="1:8" hidden="1" x14ac:dyDescent="0.25">
      <c r="A253" s="2">
        <v>-1</v>
      </c>
      <c r="B253">
        <v>26</v>
      </c>
      <c r="C253">
        <f>(Call!$F$1-Call!$A$1)/365</f>
        <v>0.37808219178082192</v>
      </c>
      <c r="D253">
        <v>11.3</v>
      </c>
      <c r="E253">
        <v>15.525</v>
      </c>
      <c r="F253">
        <v>5</v>
      </c>
      <c r="G253">
        <f t="shared" si="6"/>
        <v>1.6747181964573268</v>
      </c>
      <c r="H253">
        <f t="shared" si="7"/>
        <v>0</v>
      </c>
    </row>
    <row r="254" spans="1:8" hidden="1" x14ac:dyDescent="0.25">
      <c r="A254" s="2">
        <v>-1</v>
      </c>
      <c r="B254">
        <v>27</v>
      </c>
      <c r="C254">
        <f>(Call!$F$1-Call!$A$1)/365</f>
        <v>0.37808219178082192</v>
      </c>
      <c r="D254">
        <v>12.2</v>
      </c>
      <c r="E254">
        <v>15.525</v>
      </c>
      <c r="F254">
        <v>5</v>
      </c>
      <c r="G254">
        <f t="shared" si="6"/>
        <v>1.7391304347826086</v>
      </c>
      <c r="H254">
        <f t="shared" si="7"/>
        <v>0</v>
      </c>
    </row>
    <row r="255" spans="1:8" hidden="1" x14ac:dyDescent="0.25">
      <c r="A255" s="2">
        <v>-1</v>
      </c>
      <c r="B255">
        <v>28</v>
      </c>
      <c r="C255">
        <f>(Call!$F$1-Call!$A$1)/365</f>
        <v>0.37808219178082192</v>
      </c>
      <c r="D255">
        <v>13.15</v>
      </c>
      <c r="E255">
        <v>15.525</v>
      </c>
      <c r="F255">
        <v>5</v>
      </c>
      <c r="G255">
        <f t="shared" si="6"/>
        <v>1.8035426731078905</v>
      </c>
      <c r="H255">
        <f t="shared" si="7"/>
        <v>0</v>
      </c>
    </row>
    <row r="256" spans="1:8" hidden="1" x14ac:dyDescent="0.25">
      <c r="A256" s="2">
        <v>-1</v>
      </c>
      <c r="B256">
        <v>29</v>
      </c>
      <c r="C256">
        <f>(Call!$F$1-Call!$A$1)/365</f>
        <v>0.37808219178082192</v>
      </c>
      <c r="D256">
        <v>14.1</v>
      </c>
      <c r="E256">
        <v>15.525</v>
      </c>
      <c r="F256">
        <v>5</v>
      </c>
      <c r="G256">
        <f t="shared" si="6"/>
        <v>1.8679549114331722</v>
      </c>
      <c r="H256">
        <f t="shared" si="7"/>
        <v>0</v>
      </c>
    </row>
    <row r="257" spans="1:8" hidden="1" x14ac:dyDescent="0.25">
      <c r="A257" s="2">
        <v>-1</v>
      </c>
      <c r="B257">
        <v>30</v>
      </c>
      <c r="C257">
        <f>(Call!$F$1-Call!$A$1)/365</f>
        <v>0.37808219178082192</v>
      </c>
      <c r="D257">
        <v>15</v>
      </c>
      <c r="E257">
        <v>15.525</v>
      </c>
      <c r="F257">
        <v>5</v>
      </c>
      <c r="G257">
        <f t="shared" si="6"/>
        <v>1.932367149758454</v>
      </c>
      <c r="H257">
        <f t="shared" si="7"/>
        <v>0</v>
      </c>
    </row>
    <row r="258" spans="1:8" hidden="1" x14ac:dyDescent="0.25">
      <c r="A258" s="2">
        <v>-1</v>
      </c>
      <c r="B258">
        <v>35</v>
      </c>
      <c r="C258">
        <f>(Call!$F$1-Call!$A$1)/365</f>
        <v>0.37808219178082192</v>
      </c>
      <c r="D258">
        <v>19.8</v>
      </c>
      <c r="E258">
        <v>15.525</v>
      </c>
      <c r="F258">
        <v>5</v>
      </c>
      <c r="G258">
        <f t="shared" si="6"/>
        <v>2.2544283413848629</v>
      </c>
      <c r="H258">
        <f t="shared" si="7"/>
        <v>0</v>
      </c>
    </row>
    <row r="259" spans="1:8" hidden="1" x14ac:dyDescent="0.25">
      <c r="A259" s="2">
        <v>-1</v>
      </c>
      <c r="B259">
        <v>40</v>
      </c>
      <c r="C259">
        <f>(Call!$F$1-Call!$A$1)/365</f>
        <v>0.37808219178082192</v>
      </c>
      <c r="D259">
        <v>24.65</v>
      </c>
      <c r="E259">
        <v>15.525</v>
      </c>
      <c r="F259">
        <v>5</v>
      </c>
      <c r="G259">
        <f t="shared" ref="G259:G261" si="8">B259/E259</f>
        <v>2.576489533011272</v>
      </c>
      <c r="H259">
        <f t="shared" ref="H259:H261" si="9">IF(A259=1,IF(E259&gt;B259,0,1),IF(E259&gt;B259,1,0))</f>
        <v>0</v>
      </c>
    </row>
    <row r="260" spans="1:8" hidden="1" x14ac:dyDescent="0.25">
      <c r="A260" s="2">
        <v>-1</v>
      </c>
      <c r="B260">
        <v>45</v>
      </c>
      <c r="C260">
        <f>(Call!$F$1-Call!$A$1)/365</f>
        <v>0.37808219178082192</v>
      </c>
      <c r="D260">
        <f>(D261+D259)/2</f>
        <v>29.55</v>
      </c>
      <c r="E260">
        <v>15.525</v>
      </c>
      <c r="F260">
        <v>5</v>
      </c>
      <c r="G260">
        <f t="shared" si="8"/>
        <v>2.8985507246376812</v>
      </c>
      <c r="H260">
        <f t="shared" si="9"/>
        <v>0</v>
      </c>
    </row>
    <row r="261" spans="1:8" hidden="1" x14ac:dyDescent="0.25">
      <c r="A261" s="2">
        <v>-1</v>
      </c>
      <c r="B261">
        <v>50</v>
      </c>
      <c r="C261">
        <f>(Call!$F$1-Call!$A$1)/365</f>
        <v>0.37808219178082192</v>
      </c>
      <c r="D261">
        <v>34.450000000000003</v>
      </c>
      <c r="E261">
        <v>15.525</v>
      </c>
      <c r="F261">
        <v>5</v>
      </c>
      <c r="G261">
        <f t="shared" si="8"/>
        <v>3.2206119162640903</v>
      </c>
      <c r="H261">
        <f t="shared" si="9"/>
        <v>0</v>
      </c>
    </row>
  </sheetData>
  <autoFilter ref="A1:H261">
    <filterColumn colId="7">
      <filters>
        <filter val="1"/>
      </filters>
    </filterColumn>
  </autoFilter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7"/>
  <sheetViews>
    <sheetView workbookViewId="0">
      <selection activeCell="F2" sqref="F2:F27"/>
    </sheetView>
  </sheetViews>
  <sheetFormatPr defaultRowHeight="15" x14ac:dyDescent="0.25"/>
  <cols>
    <col min="1" max="1" width="23.28515625" bestFit="1" customWidth="1"/>
    <col min="2" max="5" width="10.42578125" bestFit="1" customWidth="1"/>
    <col min="6" max="6" width="21.85546875" bestFit="1" customWidth="1"/>
    <col min="7" max="7" width="10.42578125" bestFit="1" customWidth="1"/>
  </cols>
  <sheetData>
    <row r="1" spans="1:7" x14ac:dyDescent="0.25">
      <c r="A1" s="1">
        <f>Date!A1</f>
        <v>42979</v>
      </c>
      <c r="B1" s="1">
        <f>[1]!option_maturity($A$1,COLUMN(A1)-1)</f>
        <v>42998</v>
      </c>
      <c r="C1" s="1">
        <f>[1]!option_maturity($A$1,COLUMN(B1)-1)</f>
        <v>43026</v>
      </c>
      <c r="D1" s="1">
        <f>[1]!option_maturity($A$1,COLUMN(C1)-1)</f>
        <v>43054</v>
      </c>
      <c r="E1" s="1">
        <f>[1]!option_maturity($A$1,COLUMN(D1)-1)</f>
        <v>43089</v>
      </c>
      <c r="F1" s="1">
        <f>[1]!option_maturity($A$1,COLUMN(E1)-1)</f>
        <v>43117</v>
      </c>
      <c r="G1" s="1"/>
    </row>
    <row r="2" spans="1:7" x14ac:dyDescent="0.25">
      <c r="A2">
        <v>9</v>
      </c>
      <c r="B2" t="e">
        <f ca="1">_xll.BDH("vix us " &amp; TEXT(B$1,"mm/dd/yy") &amp; " C"&amp;$A2&amp; " Index","px mid",$A$1)</f>
        <v>#NAME?</v>
      </c>
      <c r="C2" t="e">
        <f ca="1">_xll.BDH("vix us " &amp; TEXT(C$1,"mm/dd/yy") &amp; " C"&amp;$A2&amp; " Index","px mid",$A$1)</f>
        <v>#NAME?</v>
      </c>
      <c r="D2" t="e">
        <f ca="1">_xll.BDH("vix us " &amp; TEXT(D$1,"mm/dd/yy") &amp; " C"&amp;$A2&amp; " Index","px mid",$A$1)</f>
        <v>#NAME?</v>
      </c>
      <c r="E2" t="e">
        <f ca="1">_xll.BDH("vix us " &amp; TEXT(E$1,"mm/dd/yy") &amp; " C"&amp;$A2&amp; " Index","px mid",$A$1)</f>
        <v>#NAME?</v>
      </c>
      <c r="F2" t="e">
        <f ca="1">_xll.BDH("vix us " &amp; TEXT(F$1,"mm/dd/yy") &amp; " C"&amp;$A2&amp; " Index","px mid",$A$1)</f>
        <v>#NAME?</v>
      </c>
    </row>
    <row r="3" spans="1:7" x14ac:dyDescent="0.25">
      <c r="A3">
        <v>10</v>
      </c>
      <c r="B3" t="e">
        <f ca="1">_xll.BDH("vix us " &amp; TEXT(B$1,"mm/dd/yy") &amp; " C"&amp;$A3&amp; " Index","px mid",$A$1)</f>
        <v>#NAME?</v>
      </c>
      <c r="C3" t="e">
        <f ca="1">_xll.BDH("vix us " &amp; TEXT(C$1,"mm/dd/yy") &amp; " C"&amp;$A3&amp; " Index","px mid",$A$1)</f>
        <v>#NAME?</v>
      </c>
      <c r="D3" t="e">
        <f ca="1">_xll.BDH("vix us " &amp; TEXT(D$1,"mm/dd/yy") &amp; " C"&amp;$A3&amp; " Index","px mid",$A$1)</f>
        <v>#NAME?</v>
      </c>
      <c r="E3" t="e">
        <f ca="1">_xll.BDH("vix us " &amp; TEXT(E$1,"mm/dd/yy") &amp; " C"&amp;$A3&amp; " Index","px mid",$A$1)</f>
        <v>#NAME?</v>
      </c>
      <c r="F3" t="e">
        <f ca="1">_xll.BDH("vix us " &amp; TEXT(F$1,"mm/dd/yy") &amp; " C"&amp;$A3&amp; " Index","px mid",$A$1)</f>
        <v>#NAME?</v>
      </c>
    </row>
    <row r="4" spans="1:7" x14ac:dyDescent="0.25">
      <c r="A4">
        <v>11</v>
      </c>
      <c r="B4" t="e">
        <f ca="1">_xll.BDH("vix us " &amp; TEXT(B$1,"mm/dd/yy") &amp; " C"&amp;$A4&amp; " Index","px mid",$A$1)</f>
        <v>#NAME?</v>
      </c>
      <c r="C4" t="e">
        <f ca="1">_xll.BDH("vix us " &amp; TEXT(C$1,"mm/dd/yy") &amp; " C"&amp;$A4&amp; " Index","px mid",$A$1)</f>
        <v>#NAME?</v>
      </c>
      <c r="D4" t="e">
        <f ca="1">_xll.BDH("vix us " &amp; TEXT(D$1,"mm/dd/yy") &amp; " C"&amp;$A4&amp; " Index","px mid",$A$1)</f>
        <v>#NAME?</v>
      </c>
      <c r="E4" t="e">
        <f ca="1">_xll.BDH("vix us " &amp; TEXT(E$1,"mm/dd/yy") &amp; " C"&amp;$A4&amp; " Index","px mid",$A$1)</f>
        <v>#NAME?</v>
      </c>
      <c r="F4" t="e">
        <f ca="1">_xll.BDH("vix us " &amp; TEXT(F$1,"mm/dd/yy") &amp; " C"&amp;$A4&amp; " Index","px mid",$A$1)</f>
        <v>#NAME?</v>
      </c>
    </row>
    <row r="5" spans="1:7" x14ac:dyDescent="0.25">
      <c r="A5">
        <v>12</v>
      </c>
      <c r="B5" t="e">
        <f ca="1">_xll.BDH("vix us " &amp; TEXT(B$1,"mm/dd/yy") &amp; " C"&amp;$A5&amp; " Index","px mid",$A$1)</f>
        <v>#NAME?</v>
      </c>
      <c r="C5" t="e">
        <f ca="1">_xll.BDH("vix us " &amp; TEXT(C$1,"mm/dd/yy") &amp; " C"&amp;$A5&amp; " Index","px mid",$A$1)</f>
        <v>#NAME?</v>
      </c>
      <c r="D5" t="e">
        <f ca="1">_xll.BDH("vix us " &amp; TEXT(D$1,"mm/dd/yy") &amp; " C"&amp;$A5&amp; " Index","px mid",$A$1)</f>
        <v>#NAME?</v>
      </c>
      <c r="E5" t="e">
        <f ca="1">_xll.BDH("vix us " &amp; TEXT(E$1,"mm/dd/yy") &amp; " C"&amp;$A5&amp; " Index","px mid",$A$1)</f>
        <v>#NAME?</v>
      </c>
      <c r="F5" t="e">
        <f ca="1">_xll.BDH("vix us " &amp; TEXT(F$1,"mm/dd/yy") &amp; " C"&amp;$A5&amp; " Index","px mid",$A$1)</f>
        <v>#NAME?</v>
      </c>
    </row>
    <row r="6" spans="1:7" x14ac:dyDescent="0.25">
      <c r="A6">
        <v>13</v>
      </c>
      <c r="B6" t="e">
        <f ca="1">_xll.BDH("vix us " &amp; TEXT(B$1,"mm/dd/yy") &amp; " C"&amp;$A6&amp; " Index","px mid",$A$1)</f>
        <v>#NAME?</v>
      </c>
      <c r="C6" t="e">
        <f ca="1">_xll.BDH("vix us " &amp; TEXT(C$1,"mm/dd/yy") &amp; " C"&amp;$A6&amp; " Index","px mid",$A$1)</f>
        <v>#NAME?</v>
      </c>
      <c r="D6" t="e">
        <f ca="1">_xll.BDH("vix us " &amp; TEXT(D$1,"mm/dd/yy") &amp; " C"&amp;$A6&amp; " Index","px mid",$A$1)</f>
        <v>#NAME?</v>
      </c>
      <c r="E6" t="e">
        <f ca="1">_xll.BDH("vix us " &amp; TEXT(E$1,"mm/dd/yy") &amp; " C"&amp;$A6&amp; " Index","px mid",$A$1)</f>
        <v>#NAME?</v>
      </c>
      <c r="F6" t="e">
        <f ca="1">_xll.BDH("vix us " &amp; TEXT(F$1,"mm/dd/yy") &amp; " C"&amp;$A6&amp; " Index","px mid",$A$1)</f>
        <v>#NAME?</v>
      </c>
    </row>
    <row r="7" spans="1:7" x14ac:dyDescent="0.25">
      <c r="A7">
        <v>14</v>
      </c>
      <c r="B7" t="e">
        <f ca="1">_xll.BDH("vix us " &amp; TEXT(B$1,"mm/dd/yy") &amp; " C"&amp;$A7&amp; " Index","px mid",$A$1)</f>
        <v>#NAME?</v>
      </c>
      <c r="C7" t="e">
        <f ca="1">_xll.BDH("vix us " &amp; TEXT(C$1,"mm/dd/yy") &amp; " C"&amp;$A7&amp; " Index","px mid",$A$1)</f>
        <v>#NAME?</v>
      </c>
      <c r="D7" t="e">
        <f ca="1">_xll.BDH("vix us " &amp; TEXT(D$1,"mm/dd/yy") &amp; " C"&amp;$A7&amp; " Index","px mid",$A$1)</f>
        <v>#NAME?</v>
      </c>
      <c r="E7" t="e">
        <f ca="1">_xll.BDH("vix us " &amp; TEXT(E$1,"mm/dd/yy") &amp; " C"&amp;$A7&amp; " Index","px mid",$A$1)</f>
        <v>#NAME?</v>
      </c>
      <c r="F7" t="e">
        <f ca="1">_xll.BDH("vix us " &amp; TEXT(F$1,"mm/dd/yy") &amp; " C"&amp;$A7&amp; " Index","px mid",$A$1)</f>
        <v>#NAME?</v>
      </c>
    </row>
    <row r="8" spans="1:7" x14ac:dyDescent="0.25">
      <c r="A8">
        <v>15</v>
      </c>
      <c r="B8" t="e">
        <f ca="1">_xll.BDH("vix us " &amp; TEXT(B$1,"mm/dd/yy") &amp; " C"&amp;$A8&amp; " Index","px mid",$A$1)</f>
        <v>#NAME?</v>
      </c>
      <c r="C8" t="e">
        <f ca="1">_xll.BDH("vix us " &amp; TEXT(C$1,"mm/dd/yy") &amp; " C"&amp;$A8&amp; " Index","px mid",$A$1)</f>
        <v>#NAME?</v>
      </c>
      <c r="D8" t="e">
        <f ca="1">_xll.BDH("vix us " &amp; TEXT(D$1,"mm/dd/yy") &amp; " C"&amp;$A8&amp; " Index","px mid",$A$1)</f>
        <v>#NAME?</v>
      </c>
      <c r="E8" t="e">
        <f ca="1">_xll.BDH("vix us " &amp; TEXT(E$1,"mm/dd/yy") &amp; " C"&amp;$A8&amp; " Index","px mid",$A$1)</f>
        <v>#NAME?</v>
      </c>
      <c r="F8" t="e">
        <f ca="1">_xll.BDH("vix us " &amp; TEXT(F$1,"mm/dd/yy") &amp; " C"&amp;$A8&amp; " Index","px mid",$A$1)</f>
        <v>#NAME?</v>
      </c>
    </row>
    <row r="9" spans="1:7" x14ac:dyDescent="0.25">
      <c r="A9">
        <v>16</v>
      </c>
      <c r="B9" t="e">
        <f ca="1">_xll.BDH("vix us " &amp; TEXT(B$1,"mm/dd/yy") &amp; " C"&amp;$A9&amp; " Index","px mid",$A$1)</f>
        <v>#NAME?</v>
      </c>
      <c r="C9" t="e">
        <f ca="1">_xll.BDH("vix us " &amp; TEXT(C$1,"mm/dd/yy") &amp; " C"&amp;$A9&amp; " Index","px mid",$A$1)</f>
        <v>#NAME?</v>
      </c>
      <c r="D9" t="e">
        <f ca="1">_xll.BDH("vix us " &amp; TEXT(D$1,"mm/dd/yy") &amp; " C"&amp;$A9&amp; " Index","px mid",$A$1)</f>
        <v>#NAME?</v>
      </c>
      <c r="E9" t="e">
        <f ca="1">_xll.BDH("vix us " &amp; TEXT(E$1,"mm/dd/yy") &amp; " C"&amp;$A9&amp; " Index","px mid",$A$1)</f>
        <v>#NAME?</v>
      </c>
      <c r="F9" t="e">
        <f ca="1">_xll.BDH("vix us " &amp; TEXT(F$1,"mm/dd/yy") &amp; " C"&amp;$A9&amp; " Index","px mid",$A$1)</f>
        <v>#NAME?</v>
      </c>
    </row>
    <row r="10" spans="1:7" x14ac:dyDescent="0.25">
      <c r="A10">
        <v>17</v>
      </c>
      <c r="B10" t="e">
        <f ca="1">_xll.BDH("vix us " &amp; TEXT(B$1,"mm/dd/yy") &amp; " C"&amp;$A10&amp; " Index","px mid",$A$1)</f>
        <v>#NAME?</v>
      </c>
      <c r="C10" t="e">
        <f ca="1">_xll.BDH("vix us " &amp; TEXT(C$1,"mm/dd/yy") &amp; " C"&amp;$A10&amp; " Index","px mid",$A$1)</f>
        <v>#NAME?</v>
      </c>
      <c r="D10" t="e">
        <f ca="1">_xll.BDH("vix us " &amp; TEXT(D$1,"mm/dd/yy") &amp; " C"&amp;$A10&amp; " Index","px mid",$A$1)</f>
        <v>#NAME?</v>
      </c>
      <c r="E10" t="e">
        <f ca="1">_xll.BDH("vix us " &amp; TEXT(E$1,"mm/dd/yy") &amp; " C"&amp;$A10&amp; " Index","px mid",$A$1)</f>
        <v>#NAME?</v>
      </c>
      <c r="F10" t="e">
        <f ca="1">_xll.BDH("vix us " &amp; TEXT(F$1,"mm/dd/yy") &amp; " C"&amp;$A10&amp; " Index","px mid",$A$1)</f>
        <v>#NAME?</v>
      </c>
    </row>
    <row r="11" spans="1:7" x14ac:dyDescent="0.25">
      <c r="A11">
        <v>18</v>
      </c>
      <c r="B11" t="e">
        <f ca="1">_xll.BDH("vix us " &amp; TEXT(B$1,"mm/dd/yy") &amp; " C"&amp;$A11&amp; " Index","px mid",$A$1)</f>
        <v>#NAME?</v>
      </c>
      <c r="C11" t="e">
        <f ca="1">_xll.BDH("vix us " &amp; TEXT(C$1,"mm/dd/yy") &amp; " C"&amp;$A11&amp; " Index","px mid",$A$1)</f>
        <v>#NAME?</v>
      </c>
      <c r="D11" t="e">
        <f ca="1">_xll.BDH("vix us " &amp; TEXT(D$1,"mm/dd/yy") &amp; " C"&amp;$A11&amp; " Index","px mid",$A$1)</f>
        <v>#NAME?</v>
      </c>
      <c r="E11" t="e">
        <f ca="1">_xll.BDH("vix us " &amp; TEXT(E$1,"mm/dd/yy") &amp; " C"&amp;$A11&amp; " Index","px mid",$A$1)</f>
        <v>#NAME?</v>
      </c>
      <c r="F11" t="e">
        <f ca="1">_xll.BDH("vix us " &amp; TEXT(F$1,"mm/dd/yy") &amp; " C"&amp;$A11&amp; " Index","px mid",$A$1)</f>
        <v>#NAME?</v>
      </c>
    </row>
    <row r="12" spans="1:7" x14ac:dyDescent="0.25">
      <c r="A12">
        <v>19</v>
      </c>
      <c r="B12" t="e">
        <f ca="1">_xll.BDH("vix us " &amp; TEXT(B$1,"mm/dd/yy") &amp; " C"&amp;$A12&amp; " Index","px mid",$A$1)</f>
        <v>#NAME?</v>
      </c>
      <c r="C12" t="e">
        <f ca="1">_xll.BDH("vix us " &amp; TEXT(C$1,"mm/dd/yy") &amp; " C"&amp;$A12&amp; " Index","px mid",$A$1)</f>
        <v>#NAME?</v>
      </c>
      <c r="D12" t="e">
        <f ca="1">_xll.BDH("vix us " &amp; TEXT(D$1,"mm/dd/yy") &amp; " C"&amp;$A12&amp; " Index","px mid",$A$1)</f>
        <v>#NAME?</v>
      </c>
      <c r="E12" t="e">
        <f ca="1">_xll.BDH("vix us " &amp; TEXT(E$1,"mm/dd/yy") &amp; " C"&amp;$A12&amp; " Index","px mid",$A$1)</f>
        <v>#NAME?</v>
      </c>
      <c r="F12" t="e">
        <f ca="1">_xll.BDH("vix us " &amp; TEXT(F$1,"mm/dd/yy") &amp; " C"&amp;$A12&amp; " Index","px mid",$A$1)</f>
        <v>#NAME?</v>
      </c>
    </row>
    <row r="13" spans="1:7" x14ac:dyDescent="0.25">
      <c r="A13">
        <v>20</v>
      </c>
      <c r="B13" t="e">
        <f ca="1">_xll.BDH("vix us " &amp; TEXT(B$1,"mm/dd/yy") &amp; " C"&amp;$A13&amp; " Index","px mid",$A$1)</f>
        <v>#NAME?</v>
      </c>
      <c r="C13" t="e">
        <f ca="1">_xll.BDH("vix us " &amp; TEXT(C$1,"mm/dd/yy") &amp; " C"&amp;$A13&amp; " Index","px mid",$A$1)</f>
        <v>#NAME?</v>
      </c>
      <c r="D13" t="e">
        <f ca="1">_xll.BDH("vix us " &amp; TEXT(D$1,"mm/dd/yy") &amp; " C"&amp;$A13&amp; " Index","px mid",$A$1)</f>
        <v>#NAME?</v>
      </c>
      <c r="E13" t="e">
        <f ca="1">_xll.BDH("vix us " &amp; TEXT(E$1,"mm/dd/yy") &amp; " C"&amp;$A13&amp; " Index","px mid",$A$1)</f>
        <v>#NAME?</v>
      </c>
      <c r="F13" t="e">
        <f ca="1">_xll.BDH("vix us " &amp; TEXT(F$1,"mm/dd/yy") &amp; " C"&amp;$A13&amp; " Index","px mid",$A$1)</f>
        <v>#NAME?</v>
      </c>
    </row>
    <row r="14" spans="1:7" x14ac:dyDescent="0.25">
      <c r="A14">
        <v>21</v>
      </c>
      <c r="B14" t="e">
        <f ca="1">_xll.BDH("vix us " &amp; TEXT(B$1,"mm/dd/yy") &amp; " C"&amp;$A14&amp; " Index","px mid",$A$1)</f>
        <v>#NAME?</v>
      </c>
      <c r="C14" t="e">
        <f ca="1">_xll.BDH("vix us " &amp; TEXT(C$1,"mm/dd/yy") &amp; " C"&amp;$A14&amp; " Index","px mid",$A$1)</f>
        <v>#NAME?</v>
      </c>
      <c r="D14" t="e">
        <f ca="1">_xll.BDH("vix us " &amp; TEXT(D$1,"mm/dd/yy") &amp; " C"&amp;$A14&amp; " Index","px mid",$A$1)</f>
        <v>#NAME?</v>
      </c>
      <c r="E14" t="e">
        <f ca="1">_xll.BDH("vix us " &amp; TEXT(E$1,"mm/dd/yy") &amp; " C"&amp;$A14&amp; " Index","px mid",$A$1)</f>
        <v>#NAME?</v>
      </c>
      <c r="F14" t="e">
        <f ca="1">_xll.BDH("vix us " &amp; TEXT(F$1,"mm/dd/yy") &amp; " C"&amp;$A14&amp; " Index","px mid",$A$1)</f>
        <v>#NAME?</v>
      </c>
    </row>
    <row r="15" spans="1:7" x14ac:dyDescent="0.25">
      <c r="A15">
        <v>22</v>
      </c>
      <c r="B15" t="e">
        <f ca="1">_xll.BDH("vix us " &amp; TEXT(B$1,"mm/dd/yy") &amp; " C"&amp;$A15&amp; " Index","px mid",$A$1)</f>
        <v>#NAME?</v>
      </c>
      <c r="C15" t="e">
        <f ca="1">_xll.BDH("vix us " &amp; TEXT(C$1,"mm/dd/yy") &amp; " C"&amp;$A15&amp; " Index","px mid",$A$1)</f>
        <v>#NAME?</v>
      </c>
      <c r="D15" t="e">
        <f ca="1">_xll.BDH("vix us " &amp; TEXT(D$1,"mm/dd/yy") &amp; " C"&amp;$A15&amp; " Index","px mid",$A$1)</f>
        <v>#NAME?</v>
      </c>
      <c r="E15" t="e">
        <f ca="1">_xll.BDH("vix us " &amp; TEXT(E$1,"mm/dd/yy") &amp; " C"&amp;$A15&amp; " Index","px mid",$A$1)</f>
        <v>#NAME?</v>
      </c>
      <c r="F15" t="e">
        <f ca="1">_xll.BDH("vix us " &amp; TEXT(F$1,"mm/dd/yy") &amp; " C"&amp;$A15&amp; " Index","px mid",$A$1)</f>
        <v>#NAME?</v>
      </c>
    </row>
    <row r="16" spans="1:7" x14ac:dyDescent="0.25">
      <c r="A16">
        <v>23</v>
      </c>
      <c r="B16" t="e">
        <f ca="1">_xll.BDH("vix us " &amp; TEXT(B$1,"mm/dd/yy") &amp; " C"&amp;$A16&amp; " Index","px mid",$A$1)</f>
        <v>#NAME?</v>
      </c>
      <c r="C16" t="e">
        <f ca="1">_xll.BDH("vix us " &amp; TEXT(C$1,"mm/dd/yy") &amp; " C"&amp;$A16&amp; " Index","px mid",$A$1)</f>
        <v>#NAME?</v>
      </c>
      <c r="D16" t="e">
        <f ca="1">_xll.BDH("vix us " &amp; TEXT(D$1,"mm/dd/yy") &amp; " C"&amp;$A16&amp; " Index","px mid",$A$1)</f>
        <v>#NAME?</v>
      </c>
      <c r="E16" t="e">
        <f ca="1">_xll.BDH("vix us " &amp; TEXT(E$1,"mm/dd/yy") &amp; " C"&amp;$A16&amp; " Index","px mid",$A$1)</f>
        <v>#NAME?</v>
      </c>
      <c r="F16" t="e">
        <f ca="1">_xll.BDH("vix us " &amp; TEXT(F$1,"mm/dd/yy") &amp; " C"&amp;$A16&amp; " Index","px mid",$A$1)</f>
        <v>#NAME?</v>
      </c>
    </row>
    <row r="17" spans="1:6" x14ac:dyDescent="0.25">
      <c r="A17">
        <v>24</v>
      </c>
      <c r="B17" t="e">
        <f ca="1">_xll.BDH("vix us " &amp; TEXT(B$1,"mm/dd/yy") &amp; " C"&amp;$A17&amp; " Index","px mid",$A$1)</f>
        <v>#NAME?</v>
      </c>
      <c r="C17" t="e">
        <f ca="1">_xll.BDH("vix us " &amp; TEXT(C$1,"mm/dd/yy") &amp; " C"&amp;$A17&amp; " Index","px mid",$A$1)</f>
        <v>#NAME?</v>
      </c>
      <c r="D17" t="e">
        <f ca="1">_xll.BDH("vix us " &amp; TEXT(D$1,"mm/dd/yy") &amp; " C"&amp;$A17&amp; " Index","px mid",$A$1)</f>
        <v>#NAME?</v>
      </c>
      <c r="E17" t="e">
        <f ca="1">_xll.BDH("vix us " &amp; TEXT(E$1,"mm/dd/yy") &amp; " C"&amp;$A17&amp; " Index","px mid",$A$1)</f>
        <v>#NAME?</v>
      </c>
      <c r="F17" t="e">
        <f ca="1">_xll.BDH("vix us " &amp; TEXT(F$1,"mm/dd/yy") &amp; " C"&amp;$A17&amp; " Index","px mid",$A$1)</f>
        <v>#NAME?</v>
      </c>
    </row>
    <row r="18" spans="1:6" x14ac:dyDescent="0.25">
      <c r="A18">
        <v>25</v>
      </c>
      <c r="B18" t="e">
        <f ca="1">_xll.BDH("vix us " &amp; TEXT(B$1,"mm/dd/yy") &amp; " C"&amp;$A18&amp; " Index","px mid",$A$1)</f>
        <v>#NAME?</v>
      </c>
      <c r="C18" t="e">
        <f ca="1">_xll.BDH("vix us " &amp; TEXT(C$1,"mm/dd/yy") &amp; " C"&amp;$A18&amp; " Index","px mid",$A$1)</f>
        <v>#NAME?</v>
      </c>
      <c r="D18" t="e">
        <f ca="1">_xll.BDH("vix us " &amp; TEXT(D$1,"mm/dd/yy") &amp; " C"&amp;$A18&amp; " Index","px mid",$A$1)</f>
        <v>#NAME?</v>
      </c>
      <c r="E18" t="e">
        <f ca="1">_xll.BDH("vix us " &amp; TEXT(E$1,"mm/dd/yy") &amp; " C"&amp;$A18&amp; " Index","px mid",$A$1)</f>
        <v>#NAME?</v>
      </c>
      <c r="F18" t="e">
        <f ca="1">_xll.BDH("vix us " &amp; TEXT(F$1,"mm/dd/yy") &amp; " C"&amp;$A18&amp; " Index","px mid",$A$1)</f>
        <v>#NAME?</v>
      </c>
    </row>
    <row r="19" spans="1:6" x14ac:dyDescent="0.25">
      <c r="A19">
        <v>26</v>
      </c>
      <c r="B19" t="e">
        <f ca="1">_xll.BDH("vix us " &amp; TEXT(B$1,"mm/dd/yy") &amp; " C"&amp;$A19&amp; " Index","px mid",$A$1)</f>
        <v>#NAME?</v>
      </c>
      <c r="C19" t="e">
        <f ca="1">_xll.BDH("vix us " &amp; TEXT(C$1,"mm/dd/yy") &amp; " C"&amp;$A19&amp; " Index","px mid",$A$1)</f>
        <v>#NAME?</v>
      </c>
      <c r="D19" t="e">
        <f ca="1">_xll.BDH("vix us " &amp; TEXT(D$1,"mm/dd/yy") &amp; " C"&amp;$A19&amp; " Index","px mid",$A$1)</f>
        <v>#NAME?</v>
      </c>
      <c r="E19" t="e">
        <f ca="1">_xll.BDH("vix us " &amp; TEXT(E$1,"mm/dd/yy") &amp; " C"&amp;$A19&amp; " Index","px mid",$A$1)</f>
        <v>#NAME?</v>
      </c>
      <c r="F19" t="e">
        <f ca="1">_xll.BDH("vix us " &amp; TEXT(F$1,"mm/dd/yy") &amp; " C"&amp;$A19&amp; " Index","px mid",$A$1)</f>
        <v>#NAME?</v>
      </c>
    </row>
    <row r="20" spans="1:6" x14ac:dyDescent="0.25">
      <c r="A20">
        <v>27</v>
      </c>
      <c r="B20" t="e">
        <f ca="1">_xll.BDH("vix us " &amp; TEXT(B$1,"mm/dd/yy") &amp; " C"&amp;$A20&amp; " Index","px mid",$A$1)</f>
        <v>#NAME?</v>
      </c>
      <c r="C20" t="e">
        <f ca="1">_xll.BDH("vix us " &amp; TEXT(C$1,"mm/dd/yy") &amp; " C"&amp;$A20&amp; " Index","px mid",$A$1)</f>
        <v>#NAME?</v>
      </c>
      <c r="D20" t="e">
        <f ca="1">_xll.BDH("vix us " &amp; TEXT(D$1,"mm/dd/yy") &amp; " C"&amp;$A20&amp; " Index","px mid",$A$1)</f>
        <v>#NAME?</v>
      </c>
      <c r="E20" t="e">
        <f ca="1">_xll.BDH("vix us " &amp; TEXT(E$1,"mm/dd/yy") &amp; " C"&amp;$A20&amp; " Index","px mid",$A$1)</f>
        <v>#NAME?</v>
      </c>
      <c r="F20" t="e">
        <f ca="1">_xll.BDH("vix us " &amp; TEXT(F$1,"mm/dd/yy") &amp; " C"&amp;$A20&amp; " Index","px mid",$A$1)</f>
        <v>#NAME?</v>
      </c>
    </row>
    <row r="21" spans="1:6" x14ac:dyDescent="0.25">
      <c r="A21">
        <v>28</v>
      </c>
      <c r="B21" t="e">
        <f ca="1">_xll.BDH("vix us " &amp; TEXT(B$1,"mm/dd/yy") &amp; " C"&amp;$A21&amp; " Index","px mid",$A$1)</f>
        <v>#NAME?</v>
      </c>
      <c r="C21" t="e">
        <f ca="1">_xll.BDH("vix us " &amp; TEXT(C$1,"mm/dd/yy") &amp; " C"&amp;$A21&amp; " Index","px mid",$A$1)</f>
        <v>#NAME?</v>
      </c>
      <c r="D21" t="e">
        <f ca="1">_xll.BDH("vix us " &amp; TEXT(D$1,"mm/dd/yy") &amp; " C"&amp;$A21&amp; " Index","px mid",$A$1)</f>
        <v>#NAME?</v>
      </c>
      <c r="E21" t="e">
        <f ca="1">_xll.BDH("vix us " &amp; TEXT(E$1,"mm/dd/yy") &amp; " C"&amp;$A21&amp; " Index","px mid",$A$1)</f>
        <v>#NAME?</v>
      </c>
      <c r="F21" t="e">
        <f ca="1">_xll.BDH("vix us " &amp; TEXT(F$1,"mm/dd/yy") &amp; " C"&amp;$A21&amp; " Index","px mid",$A$1)</f>
        <v>#NAME?</v>
      </c>
    </row>
    <row r="22" spans="1:6" x14ac:dyDescent="0.25">
      <c r="A22">
        <v>29</v>
      </c>
      <c r="B22" t="e">
        <f ca="1">_xll.BDH("vix us " &amp; TEXT(B$1,"mm/dd/yy") &amp; " C"&amp;$A22&amp; " Index","px mid",$A$1)</f>
        <v>#NAME?</v>
      </c>
      <c r="C22" t="e">
        <f ca="1">_xll.BDH("vix us " &amp; TEXT(C$1,"mm/dd/yy") &amp; " C"&amp;$A22&amp; " Index","px mid",$A$1)</f>
        <v>#NAME?</v>
      </c>
      <c r="D22" t="e">
        <f ca="1">_xll.BDH("vix us " &amp; TEXT(D$1,"mm/dd/yy") &amp; " C"&amp;$A22&amp; " Index","px mid",$A$1)</f>
        <v>#NAME?</v>
      </c>
      <c r="E22" t="e">
        <f ca="1">_xll.BDH("vix us " &amp; TEXT(E$1,"mm/dd/yy") &amp; " C"&amp;$A22&amp; " Index","px mid",$A$1)</f>
        <v>#NAME?</v>
      </c>
      <c r="F22" t="e">
        <f ca="1">_xll.BDH("vix us " &amp; TEXT(F$1,"mm/dd/yy") &amp; " C"&amp;$A22&amp; " Index","px mid",$A$1)</f>
        <v>#NAME?</v>
      </c>
    </row>
    <row r="23" spans="1:6" x14ac:dyDescent="0.25">
      <c r="A23">
        <v>30</v>
      </c>
      <c r="B23" t="e">
        <f ca="1">_xll.BDH("vix us " &amp; TEXT(B$1,"mm/dd/yy") &amp; " C"&amp;$A23&amp; " Index","px mid",$A$1)</f>
        <v>#NAME?</v>
      </c>
      <c r="C23" t="e">
        <f ca="1">_xll.BDH("vix us " &amp; TEXT(C$1,"mm/dd/yy") &amp; " C"&amp;$A23&amp; " Index","px mid",$A$1)</f>
        <v>#NAME?</v>
      </c>
      <c r="D23" t="e">
        <f ca="1">_xll.BDH("vix us " &amp; TEXT(D$1,"mm/dd/yy") &amp; " C"&amp;$A23&amp; " Index","px mid",$A$1)</f>
        <v>#NAME?</v>
      </c>
      <c r="E23" t="e">
        <f ca="1">_xll.BDH("vix us " &amp; TEXT(E$1,"mm/dd/yy") &amp; " C"&amp;$A23&amp; " Index","px mid",$A$1)</f>
        <v>#NAME?</v>
      </c>
      <c r="F23" t="e">
        <f ca="1">_xll.BDH("vix us " &amp; TEXT(F$1,"mm/dd/yy") &amp; " C"&amp;$A23&amp; " Index","px mid",$A$1)</f>
        <v>#NAME?</v>
      </c>
    </row>
    <row r="24" spans="1:6" x14ac:dyDescent="0.25">
      <c r="A24">
        <v>35</v>
      </c>
      <c r="B24" t="e">
        <f ca="1">_xll.BDH("vix us " &amp; TEXT(B$1,"mm/dd/yy") &amp; " C"&amp;$A24&amp; " Index","px mid",$A$1)</f>
        <v>#NAME?</v>
      </c>
      <c r="C24" t="e">
        <f ca="1">_xll.BDH("vix us " &amp; TEXT(C$1,"mm/dd/yy") &amp; " C"&amp;$A24&amp; " Index","px mid",$A$1)</f>
        <v>#NAME?</v>
      </c>
      <c r="D24" t="e">
        <f ca="1">_xll.BDH("vix us " &amp; TEXT(D$1,"mm/dd/yy") &amp; " C"&amp;$A24&amp; " Index","px mid",$A$1)</f>
        <v>#NAME?</v>
      </c>
      <c r="E24" t="e">
        <f ca="1">_xll.BDH("vix us " &amp; TEXT(E$1,"mm/dd/yy") &amp; " C"&amp;$A24&amp; " Index","px mid",$A$1)</f>
        <v>#NAME?</v>
      </c>
      <c r="F24" t="e">
        <f ca="1">_xll.BDH("vix us " &amp; TEXT(F$1,"mm/dd/yy") &amp; " C"&amp;$A24&amp; " Index","px mid",$A$1)</f>
        <v>#NAME?</v>
      </c>
    </row>
    <row r="25" spans="1:6" x14ac:dyDescent="0.25">
      <c r="A25">
        <v>40</v>
      </c>
      <c r="B25" t="e">
        <f ca="1">_xll.BDH("vix us " &amp; TEXT(B$1,"mm/dd/yy") &amp; " C"&amp;$A25&amp; " Index","px mid",$A$1)</f>
        <v>#NAME?</v>
      </c>
      <c r="C25" t="e">
        <f ca="1">_xll.BDH("vix us " &amp; TEXT(C$1,"mm/dd/yy") &amp; " C"&amp;$A25&amp; " Index","px mid",$A$1)</f>
        <v>#NAME?</v>
      </c>
      <c r="D25" t="e">
        <f ca="1">_xll.BDH("vix us " &amp; TEXT(D$1,"mm/dd/yy") &amp; " C"&amp;$A25&amp; " Index","px mid",$A$1)</f>
        <v>#NAME?</v>
      </c>
      <c r="E25" t="e">
        <f ca="1">_xll.BDH("vix us " &amp; TEXT(E$1,"mm/dd/yy") &amp; " C"&amp;$A25&amp; " Index","px mid",$A$1)</f>
        <v>#NAME?</v>
      </c>
      <c r="F25" t="e">
        <f ca="1">_xll.BDH("vix us " &amp; TEXT(F$1,"mm/dd/yy") &amp; " C"&amp;$A25&amp; " Index","px mid",$A$1)</f>
        <v>#NAME?</v>
      </c>
    </row>
    <row r="26" spans="1:6" x14ac:dyDescent="0.25">
      <c r="A26">
        <v>45</v>
      </c>
      <c r="B26" t="e">
        <f ca="1">_xll.BDH("vix us " &amp; TEXT(B$1,"mm/dd/yy") &amp; " C"&amp;$A26&amp; " Index","px mid",$A$1)</f>
        <v>#NAME?</v>
      </c>
      <c r="C26" t="e">
        <f ca="1">_xll.BDH("vix us " &amp; TEXT(C$1,"mm/dd/yy") &amp; " C"&amp;$A26&amp; " Index","px mid",$A$1)</f>
        <v>#NAME?</v>
      </c>
      <c r="D26" t="e">
        <f ca="1">_xll.BDH("vix us " &amp; TEXT(D$1,"mm/dd/yy") &amp; " C"&amp;$A26&amp; " Index","px mid",$A$1)</f>
        <v>#NAME?</v>
      </c>
      <c r="E26" t="e">
        <f ca="1">_xll.BDH("vix us " &amp; TEXT(E$1,"mm/dd/yy") &amp; " C"&amp;$A26&amp; " Index","px mid",$A$1)</f>
        <v>#NAME?</v>
      </c>
      <c r="F26" t="e">
        <f ca="1">_xll.BDH("vix us " &amp; TEXT(F$1,"mm/dd/yy") &amp; " C"&amp;$A26&amp; " Index","px mid",$A$1)</f>
        <v>#NAME?</v>
      </c>
    </row>
    <row r="27" spans="1:6" x14ac:dyDescent="0.25">
      <c r="A27">
        <v>50</v>
      </c>
      <c r="B27" t="e">
        <f ca="1">_xll.BDH("vix us " &amp; TEXT(B$1,"mm/dd/yy") &amp; " C"&amp;$A27&amp; " Index","px mid",$A$1)</f>
        <v>#NAME?</v>
      </c>
      <c r="C27" t="e">
        <f ca="1">_xll.BDH("vix us " &amp; TEXT(C$1,"mm/dd/yy") &amp; " C"&amp;$A27&amp; " Index","px mid",$A$1)</f>
        <v>#NAME?</v>
      </c>
      <c r="D27" t="e">
        <f ca="1">_xll.BDH("vix us " &amp; TEXT(D$1,"mm/dd/yy") &amp; " C"&amp;$A27&amp; " Index","px mid",$A$1)</f>
        <v>#NAME?</v>
      </c>
      <c r="E27" t="e">
        <f ca="1">_xll.BDH("vix us " &amp; TEXT(E$1,"mm/dd/yy") &amp; " C"&amp;$A27&amp; " Index","px mid",$A$1)</f>
        <v>#NAME?</v>
      </c>
      <c r="F27" t="e">
        <f ca="1">_xll.BDH("vix us " &amp; TEXT(F$1,"mm/dd/yy") &amp; " C"&amp;$A27&amp; " Index","px mid",$A$1)</f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7"/>
  <sheetViews>
    <sheetView workbookViewId="0">
      <selection activeCell="F2" sqref="F2:F27"/>
    </sheetView>
  </sheetViews>
  <sheetFormatPr defaultRowHeight="15" x14ac:dyDescent="0.25"/>
  <cols>
    <col min="1" max="6" width="10.42578125" bestFit="1" customWidth="1"/>
  </cols>
  <sheetData>
    <row r="1" spans="1:6" x14ac:dyDescent="0.25">
      <c r="A1" s="1">
        <f>Date!A1</f>
        <v>42979</v>
      </c>
      <c r="B1" s="1">
        <f>[1]!option_maturity($A$1,COLUMN(A1)-1)</f>
        <v>42998</v>
      </c>
      <c r="C1" s="1">
        <f>[1]!option_maturity($A$1,COLUMN(B1)-1)</f>
        <v>43026</v>
      </c>
      <c r="D1" s="1">
        <f>[1]!option_maturity($A$1,COLUMN(C1)-1)</f>
        <v>43054</v>
      </c>
      <c r="E1" s="1">
        <f>[1]!option_maturity($A$1,COLUMN(D1)-1)</f>
        <v>43089</v>
      </c>
      <c r="F1" s="1">
        <f>[1]!option_maturity($A$1,COLUMN(E1)-1)</f>
        <v>43117</v>
      </c>
    </row>
    <row r="2" spans="1:6" x14ac:dyDescent="0.25">
      <c r="A2">
        <v>9</v>
      </c>
      <c r="B2" t="e">
        <f ca="1">_xll.BDH("vix us " &amp; TEXT(B$1,"mm/dd/yy") &amp; " P"&amp;$A2&amp; " Index","px mid",$A$1)</f>
        <v>#NAME?</v>
      </c>
      <c r="C2" t="e">
        <f ca="1">_xll.BDH("vix us " &amp; TEXT(C$1,"mm/dd/yy") &amp; " P"&amp;$A2&amp; " Index","px mid",$A$1)</f>
        <v>#NAME?</v>
      </c>
      <c r="D2" t="e">
        <f ca="1">_xll.BDH("vix us " &amp; TEXT(D$1,"mm/dd/yy") &amp; " P"&amp;$A2&amp; " Index","px mid",$A$1)</f>
        <v>#NAME?</v>
      </c>
      <c r="E2" t="e">
        <f ca="1">_xll.BDH("vix us " &amp; TEXT(E$1,"mm/dd/yy") &amp; " P"&amp;$A2&amp; " Index","px mid",$A$1)</f>
        <v>#NAME?</v>
      </c>
      <c r="F2" t="e">
        <f ca="1">_xll.BDH("vix us " &amp; TEXT(F$1,"mm/dd/yy") &amp; " P"&amp;$A2&amp; " Index","px mid",$A$1)</f>
        <v>#NAME?</v>
      </c>
    </row>
    <row r="3" spans="1:6" x14ac:dyDescent="0.25">
      <c r="A3">
        <v>10</v>
      </c>
      <c r="B3" t="e">
        <f ca="1">_xll.BDH("vix us " &amp; TEXT(B$1,"mm/dd/yy") &amp; " P"&amp;$A3&amp; " Index","px mid",$A$1)</f>
        <v>#NAME?</v>
      </c>
      <c r="C3" t="e">
        <f ca="1">_xll.BDH("vix us " &amp; TEXT(C$1,"mm/dd/yy") &amp; " P"&amp;$A3&amp; " Index","px mid",$A$1)</f>
        <v>#NAME?</v>
      </c>
      <c r="D3" t="e">
        <f ca="1">_xll.BDH("vix us " &amp; TEXT(D$1,"mm/dd/yy") &amp; " P"&amp;$A3&amp; " Index","px mid",$A$1)</f>
        <v>#NAME?</v>
      </c>
      <c r="E3" t="e">
        <f ca="1">_xll.BDH("vix us " &amp; TEXT(E$1,"mm/dd/yy") &amp; " P"&amp;$A3&amp; " Index","px mid",$A$1)</f>
        <v>#NAME?</v>
      </c>
      <c r="F3" t="e">
        <f ca="1">_xll.BDH("vix us " &amp; TEXT(F$1,"mm/dd/yy") &amp; " P"&amp;$A3&amp; " Index","px mid",$A$1)</f>
        <v>#NAME?</v>
      </c>
    </row>
    <row r="4" spans="1:6" x14ac:dyDescent="0.25">
      <c r="A4">
        <v>11</v>
      </c>
      <c r="B4" t="e">
        <f ca="1">_xll.BDH("vix us " &amp; TEXT(B$1,"mm/dd/yy") &amp; " P"&amp;$A4&amp; " Index","px mid",$A$1)</f>
        <v>#NAME?</v>
      </c>
      <c r="C4" t="e">
        <f ca="1">_xll.BDH("vix us " &amp; TEXT(C$1,"mm/dd/yy") &amp; " P"&amp;$A4&amp; " Index","px mid",$A$1)</f>
        <v>#NAME?</v>
      </c>
      <c r="D4" t="e">
        <f ca="1">_xll.BDH("vix us " &amp; TEXT(D$1,"mm/dd/yy") &amp; " P"&amp;$A4&amp; " Index","px mid",$A$1)</f>
        <v>#NAME?</v>
      </c>
      <c r="E4" t="e">
        <f ca="1">_xll.BDH("vix us " &amp; TEXT(E$1,"mm/dd/yy") &amp; " P"&amp;$A4&amp; " Index","px mid",$A$1)</f>
        <v>#NAME?</v>
      </c>
      <c r="F4" t="e">
        <f ca="1">_xll.BDH("vix us " &amp; TEXT(F$1,"mm/dd/yy") &amp; " P"&amp;$A4&amp; " Index","px mid",$A$1)</f>
        <v>#NAME?</v>
      </c>
    </row>
    <row r="5" spans="1:6" x14ac:dyDescent="0.25">
      <c r="A5">
        <v>12</v>
      </c>
      <c r="B5" t="e">
        <f ca="1">_xll.BDH("vix us " &amp; TEXT(B$1,"mm/dd/yy") &amp; " P"&amp;$A5&amp; " Index","px mid",$A$1)</f>
        <v>#NAME?</v>
      </c>
      <c r="C5" t="e">
        <f ca="1">_xll.BDH("vix us " &amp; TEXT(C$1,"mm/dd/yy") &amp; " P"&amp;$A5&amp; " Index","px mid",$A$1)</f>
        <v>#NAME?</v>
      </c>
      <c r="D5" t="e">
        <f ca="1">_xll.BDH("vix us " &amp; TEXT(D$1,"mm/dd/yy") &amp; " P"&amp;$A5&amp; " Index","px mid",$A$1)</f>
        <v>#NAME?</v>
      </c>
      <c r="E5" t="e">
        <f ca="1">_xll.BDH("vix us " &amp; TEXT(E$1,"mm/dd/yy") &amp; " P"&amp;$A5&amp; " Index","px mid",$A$1)</f>
        <v>#NAME?</v>
      </c>
      <c r="F5" t="e">
        <f ca="1">_xll.BDH("vix us " &amp; TEXT(F$1,"mm/dd/yy") &amp; " P"&amp;$A5&amp; " Index","px mid",$A$1)</f>
        <v>#NAME?</v>
      </c>
    </row>
    <row r="6" spans="1:6" x14ac:dyDescent="0.25">
      <c r="A6">
        <v>13</v>
      </c>
      <c r="B6" t="e">
        <f ca="1">_xll.BDH("vix us " &amp; TEXT(B$1,"mm/dd/yy") &amp; " P"&amp;$A6&amp; " Index","px mid",$A$1)</f>
        <v>#NAME?</v>
      </c>
      <c r="C6" t="e">
        <f ca="1">_xll.BDH("vix us " &amp; TEXT(C$1,"mm/dd/yy") &amp; " P"&amp;$A6&amp; " Index","px mid",$A$1)</f>
        <v>#NAME?</v>
      </c>
      <c r="D6" t="e">
        <f ca="1">_xll.BDH("vix us " &amp; TEXT(D$1,"mm/dd/yy") &amp; " P"&amp;$A6&amp; " Index","px mid",$A$1)</f>
        <v>#NAME?</v>
      </c>
      <c r="E6" t="e">
        <f ca="1">_xll.BDH("vix us " &amp; TEXT(E$1,"mm/dd/yy") &amp; " P"&amp;$A6&amp; " Index","px mid",$A$1)</f>
        <v>#NAME?</v>
      </c>
      <c r="F6" t="e">
        <f ca="1">_xll.BDH("vix us " &amp; TEXT(F$1,"mm/dd/yy") &amp; " P"&amp;$A6&amp; " Index","px mid",$A$1)</f>
        <v>#NAME?</v>
      </c>
    </row>
    <row r="7" spans="1:6" x14ac:dyDescent="0.25">
      <c r="A7">
        <v>14</v>
      </c>
      <c r="B7" t="e">
        <f ca="1">_xll.BDH("vix us " &amp; TEXT(B$1,"mm/dd/yy") &amp; " P"&amp;$A7&amp; " Index","px mid",$A$1)</f>
        <v>#NAME?</v>
      </c>
      <c r="C7" t="e">
        <f ca="1">_xll.BDH("vix us " &amp; TEXT(C$1,"mm/dd/yy") &amp; " P"&amp;$A7&amp; " Index","px mid",$A$1)</f>
        <v>#NAME?</v>
      </c>
      <c r="D7" t="e">
        <f ca="1">_xll.BDH("vix us " &amp; TEXT(D$1,"mm/dd/yy") &amp; " P"&amp;$A7&amp; " Index","px mid",$A$1)</f>
        <v>#NAME?</v>
      </c>
      <c r="E7" t="e">
        <f ca="1">_xll.BDH("vix us " &amp; TEXT(E$1,"mm/dd/yy") &amp; " P"&amp;$A7&amp; " Index","px mid",$A$1)</f>
        <v>#NAME?</v>
      </c>
      <c r="F7" t="e">
        <f ca="1">_xll.BDH("vix us " &amp; TEXT(F$1,"mm/dd/yy") &amp; " P"&amp;$A7&amp; " Index","px mid",$A$1)</f>
        <v>#NAME?</v>
      </c>
    </row>
    <row r="8" spans="1:6" x14ac:dyDescent="0.25">
      <c r="A8">
        <v>15</v>
      </c>
      <c r="B8" t="e">
        <f ca="1">_xll.BDH("vix us " &amp; TEXT(B$1,"mm/dd/yy") &amp; " P"&amp;$A8&amp; " Index","px mid",$A$1)</f>
        <v>#NAME?</v>
      </c>
      <c r="C8" t="e">
        <f ca="1">_xll.BDH("vix us " &amp; TEXT(C$1,"mm/dd/yy") &amp; " P"&amp;$A8&amp; " Index","px mid",$A$1)</f>
        <v>#NAME?</v>
      </c>
      <c r="D8" t="e">
        <f ca="1">_xll.BDH("vix us " &amp; TEXT(D$1,"mm/dd/yy") &amp; " P"&amp;$A8&amp; " Index","px mid",$A$1)</f>
        <v>#NAME?</v>
      </c>
      <c r="E8" t="e">
        <f ca="1">_xll.BDH("vix us " &amp; TEXT(E$1,"mm/dd/yy") &amp; " P"&amp;$A8&amp; " Index","px mid",$A$1)</f>
        <v>#NAME?</v>
      </c>
      <c r="F8" t="e">
        <f ca="1">_xll.BDH("vix us " &amp; TEXT(F$1,"mm/dd/yy") &amp; " P"&amp;$A8&amp; " Index","px mid",$A$1)</f>
        <v>#NAME?</v>
      </c>
    </row>
    <row r="9" spans="1:6" x14ac:dyDescent="0.25">
      <c r="A9">
        <v>16</v>
      </c>
      <c r="B9" t="e">
        <f ca="1">_xll.BDH("vix us " &amp; TEXT(B$1,"mm/dd/yy") &amp; " P"&amp;$A9&amp; " Index","px mid",$A$1)</f>
        <v>#NAME?</v>
      </c>
      <c r="C9" t="e">
        <f ca="1">_xll.BDH("vix us " &amp; TEXT(C$1,"mm/dd/yy") &amp; " P"&amp;$A9&amp; " Index","px mid",$A$1)</f>
        <v>#NAME?</v>
      </c>
      <c r="D9" t="e">
        <f ca="1">_xll.BDH("vix us " &amp; TEXT(D$1,"mm/dd/yy") &amp; " P"&amp;$A9&amp; " Index","px mid",$A$1)</f>
        <v>#NAME?</v>
      </c>
      <c r="E9" t="e">
        <f ca="1">_xll.BDH("vix us " &amp; TEXT(E$1,"mm/dd/yy") &amp; " P"&amp;$A9&amp; " Index","px mid",$A$1)</f>
        <v>#NAME?</v>
      </c>
      <c r="F9" t="e">
        <f ca="1">_xll.BDH("vix us " &amp; TEXT(F$1,"mm/dd/yy") &amp; " P"&amp;$A9&amp; " Index","px mid",$A$1)</f>
        <v>#NAME?</v>
      </c>
    </row>
    <row r="10" spans="1:6" x14ac:dyDescent="0.25">
      <c r="A10">
        <v>17</v>
      </c>
      <c r="B10" t="e">
        <f ca="1">_xll.BDH("vix us " &amp; TEXT(B$1,"mm/dd/yy") &amp; " P"&amp;$A10&amp; " Index","px mid",$A$1)</f>
        <v>#NAME?</v>
      </c>
      <c r="C10" t="e">
        <f ca="1">_xll.BDH("vix us " &amp; TEXT(C$1,"mm/dd/yy") &amp; " P"&amp;$A10&amp; " Index","px mid",$A$1)</f>
        <v>#NAME?</v>
      </c>
      <c r="D10" t="e">
        <f ca="1">_xll.BDH("vix us " &amp; TEXT(D$1,"mm/dd/yy") &amp; " P"&amp;$A10&amp; " Index","px mid",$A$1)</f>
        <v>#NAME?</v>
      </c>
      <c r="E10" t="e">
        <f ca="1">_xll.BDH("vix us " &amp; TEXT(E$1,"mm/dd/yy") &amp; " P"&amp;$A10&amp; " Index","px mid",$A$1)</f>
        <v>#NAME?</v>
      </c>
      <c r="F10" t="e">
        <f ca="1">_xll.BDH("vix us " &amp; TEXT(F$1,"mm/dd/yy") &amp; " P"&amp;$A10&amp; " Index","px mid",$A$1)</f>
        <v>#NAME?</v>
      </c>
    </row>
    <row r="11" spans="1:6" x14ac:dyDescent="0.25">
      <c r="A11">
        <v>18</v>
      </c>
      <c r="B11" t="e">
        <f ca="1">_xll.BDH("vix us " &amp; TEXT(B$1,"mm/dd/yy") &amp; " P"&amp;$A11&amp; " Index","px mid",$A$1)</f>
        <v>#NAME?</v>
      </c>
      <c r="C11" t="e">
        <f ca="1">_xll.BDH("vix us " &amp; TEXT(C$1,"mm/dd/yy") &amp; " P"&amp;$A11&amp; " Index","px mid",$A$1)</f>
        <v>#NAME?</v>
      </c>
      <c r="D11" t="e">
        <f ca="1">_xll.BDH("vix us " &amp; TEXT(D$1,"mm/dd/yy") &amp; " P"&amp;$A11&amp; " Index","px mid",$A$1)</f>
        <v>#NAME?</v>
      </c>
      <c r="E11" t="e">
        <f ca="1">_xll.BDH("vix us " &amp; TEXT(E$1,"mm/dd/yy") &amp; " P"&amp;$A11&amp; " Index","px mid",$A$1)</f>
        <v>#NAME?</v>
      </c>
      <c r="F11" t="e">
        <f ca="1">_xll.BDH("vix us " &amp; TEXT(F$1,"mm/dd/yy") &amp; " P"&amp;$A11&amp; " Index","px mid",$A$1)</f>
        <v>#NAME?</v>
      </c>
    </row>
    <row r="12" spans="1:6" x14ac:dyDescent="0.25">
      <c r="A12">
        <v>19</v>
      </c>
      <c r="B12" t="e">
        <f ca="1">_xll.BDH("vix us " &amp; TEXT(B$1,"mm/dd/yy") &amp; " P"&amp;$A12&amp; " Index","px mid",$A$1)</f>
        <v>#NAME?</v>
      </c>
      <c r="C12" t="e">
        <f ca="1">_xll.BDH("vix us " &amp; TEXT(C$1,"mm/dd/yy") &amp; " P"&amp;$A12&amp; " Index","px mid",$A$1)</f>
        <v>#NAME?</v>
      </c>
      <c r="D12" t="e">
        <f ca="1">_xll.BDH("vix us " &amp; TEXT(D$1,"mm/dd/yy") &amp; " P"&amp;$A12&amp; " Index","px mid",$A$1)</f>
        <v>#NAME?</v>
      </c>
      <c r="E12" t="e">
        <f ca="1">_xll.BDH("vix us " &amp; TEXT(E$1,"mm/dd/yy") &amp; " P"&amp;$A12&amp; " Index","px mid",$A$1)</f>
        <v>#NAME?</v>
      </c>
      <c r="F12" t="e">
        <f ca="1">_xll.BDH("vix us " &amp; TEXT(F$1,"mm/dd/yy") &amp; " P"&amp;$A12&amp; " Index","px mid",$A$1)</f>
        <v>#NAME?</v>
      </c>
    </row>
    <row r="13" spans="1:6" x14ac:dyDescent="0.25">
      <c r="A13">
        <v>20</v>
      </c>
      <c r="B13" t="e">
        <f ca="1">_xll.BDH("vix us " &amp; TEXT(B$1,"mm/dd/yy") &amp; " P"&amp;$A13&amp; " Index","px mid",$A$1)</f>
        <v>#NAME?</v>
      </c>
      <c r="C13" t="e">
        <f ca="1">_xll.BDH("vix us " &amp; TEXT(C$1,"mm/dd/yy") &amp; " P"&amp;$A13&amp; " Index","px mid",$A$1)</f>
        <v>#NAME?</v>
      </c>
      <c r="D13" t="e">
        <f ca="1">_xll.BDH("vix us " &amp; TEXT(D$1,"mm/dd/yy") &amp; " P"&amp;$A13&amp; " Index","px mid",$A$1)</f>
        <v>#NAME?</v>
      </c>
      <c r="E13" t="e">
        <f ca="1">_xll.BDH("vix us " &amp; TEXT(E$1,"mm/dd/yy") &amp; " P"&amp;$A13&amp; " Index","px mid",$A$1)</f>
        <v>#NAME?</v>
      </c>
      <c r="F13" t="e">
        <f ca="1">_xll.BDH("vix us " &amp; TEXT(F$1,"mm/dd/yy") &amp; " P"&amp;$A13&amp; " Index","px mid",$A$1)</f>
        <v>#NAME?</v>
      </c>
    </row>
    <row r="14" spans="1:6" x14ac:dyDescent="0.25">
      <c r="A14">
        <v>21</v>
      </c>
      <c r="B14" t="e">
        <f ca="1">_xll.BDH("vix us " &amp; TEXT(B$1,"mm/dd/yy") &amp; " P"&amp;$A14&amp; " Index","px mid",$A$1)</f>
        <v>#NAME?</v>
      </c>
      <c r="C14" t="e">
        <f ca="1">_xll.BDH("vix us " &amp; TEXT(C$1,"mm/dd/yy") &amp; " P"&amp;$A14&amp; " Index","px mid",$A$1)</f>
        <v>#NAME?</v>
      </c>
      <c r="D14" t="e">
        <f ca="1">_xll.BDH("vix us " &amp; TEXT(D$1,"mm/dd/yy") &amp; " P"&amp;$A14&amp; " Index","px mid",$A$1)</f>
        <v>#NAME?</v>
      </c>
      <c r="E14" t="e">
        <f ca="1">_xll.BDH("vix us " &amp; TEXT(E$1,"mm/dd/yy") &amp; " P"&amp;$A14&amp; " Index","px mid",$A$1)</f>
        <v>#NAME?</v>
      </c>
      <c r="F14" t="e">
        <f ca="1">_xll.BDH("vix us " &amp; TEXT(F$1,"mm/dd/yy") &amp; " P"&amp;$A14&amp; " Index","px mid",$A$1)</f>
        <v>#NAME?</v>
      </c>
    </row>
    <row r="15" spans="1:6" x14ac:dyDescent="0.25">
      <c r="A15">
        <v>22</v>
      </c>
      <c r="B15" t="e">
        <f ca="1">_xll.BDH("vix us " &amp; TEXT(B$1,"mm/dd/yy") &amp; " P"&amp;$A15&amp; " Index","px mid",$A$1)</f>
        <v>#NAME?</v>
      </c>
      <c r="C15" t="e">
        <f ca="1">_xll.BDH("vix us " &amp; TEXT(C$1,"mm/dd/yy") &amp; " P"&amp;$A15&amp; " Index","px mid",$A$1)</f>
        <v>#NAME?</v>
      </c>
      <c r="D15" t="e">
        <f ca="1">_xll.BDH("vix us " &amp; TEXT(D$1,"mm/dd/yy") &amp; " P"&amp;$A15&amp; " Index","px mid",$A$1)</f>
        <v>#NAME?</v>
      </c>
      <c r="E15" t="e">
        <f ca="1">_xll.BDH("vix us " &amp; TEXT(E$1,"mm/dd/yy") &amp; " P"&amp;$A15&amp; " Index","px mid",$A$1)</f>
        <v>#NAME?</v>
      </c>
      <c r="F15" t="e">
        <f ca="1">_xll.BDH("vix us " &amp; TEXT(F$1,"mm/dd/yy") &amp; " P"&amp;$A15&amp; " Index","px mid",$A$1)</f>
        <v>#NAME?</v>
      </c>
    </row>
    <row r="16" spans="1:6" x14ac:dyDescent="0.25">
      <c r="A16">
        <v>23</v>
      </c>
      <c r="B16" t="e">
        <f ca="1">_xll.BDH("vix us " &amp; TEXT(B$1,"mm/dd/yy") &amp; " P"&amp;$A16&amp; " Index","px mid",$A$1)</f>
        <v>#NAME?</v>
      </c>
      <c r="C16" t="e">
        <f ca="1">_xll.BDH("vix us " &amp; TEXT(C$1,"mm/dd/yy") &amp; " P"&amp;$A16&amp; " Index","px mid",$A$1)</f>
        <v>#NAME?</v>
      </c>
      <c r="D16" t="e">
        <f ca="1">_xll.BDH("vix us " &amp; TEXT(D$1,"mm/dd/yy") &amp; " P"&amp;$A16&amp; " Index","px mid",$A$1)</f>
        <v>#NAME?</v>
      </c>
      <c r="E16" t="e">
        <f ca="1">_xll.BDH("vix us " &amp; TEXT(E$1,"mm/dd/yy") &amp; " P"&amp;$A16&amp; " Index","px mid",$A$1)</f>
        <v>#NAME?</v>
      </c>
      <c r="F16" t="e">
        <f ca="1">_xll.BDH("vix us " &amp; TEXT(F$1,"mm/dd/yy") &amp; " P"&amp;$A16&amp; " Index","px mid",$A$1)</f>
        <v>#NAME?</v>
      </c>
    </row>
    <row r="17" spans="1:6" x14ac:dyDescent="0.25">
      <c r="A17">
        <v>24</v>
      </c>
      <c r="B17" t="e">
        <f ca="1">_xll.BDH("vix us " &amp; TEXT(B$1,"mm/dd/yy") &amp; " P"&amp;$A17&amp; " Index","px mid",$A$1)</f>
        <v>#NAME?</v>
      </c>
      <c r="C17" t="e">
        <f ca="1">_xll.BDH("vix us " &amp; TEXT(C$1,"mm/dd/yy") &amp; " P"&amp;$A17&amp; " Index","px mid",$A$1)</f>
        <v>#NAME?</v>
      </c>
      <c r="D17" t="e">
        <f ca="1">_xll.BDH("vix us " &amp; TEXT(D$1,"mm/dd/yy") &amp; " P"&amp;$A17&amp; " Index","px mid",$A$1)</f>
        <v>#NAME?</v>
      </c>
      <c r="E17" t="e">
        <f ca="1">_xll.BDH("vix us " &amp; TEXT(E$1,"mm/dd/yy") &amp; " P"&amp;$A17&amp; " Index","px mid",$A$1)</f>
        <v>#NAME?</v>
      </c>
      <c r="F17" t="e">
        <f ca="1">_xll.BDH("vix us " &amp; TEXT(F$1,"mm/dd/yy") &amp; " P"&amp;$A17&amp; " Index","px mid",$A$1)</f>
        <v>#NAME?</v>
      </c>
    </row>
    <row r="18" spans="1:6" x14ac:dyDescent="0.25">
      <c r="A18">
        <v>25</v>
      </c>
      <c r="B18" t="e">
        <f ca="1">_xll.BDH("vix us " &amp; TEXT(B$1,"mm/dd/yy") &amp; " P"&amp;$A18&amp; " Index","px mid",$A$1)</f>
        <v>#NAME?</v>
      </c>
      <c r="C18" t="e">
        <f ca="1">_xll.BDH("vix us " &amp; TEXT(C$1,"mm/dd/yy") &amp; " P"&amp;$A18&amp; " Index","px mid",$A$1)</f>
        <v>#NAME?</v>
      </c>
      <c r="D18" t="e">
        <f ca="1">_xll.BDH("vix us " &amp; TEXT(D$1,"mm/dd/yy") &amp; " P"&amp;$A18&amp; " Index","px mid",$A$1)</f>
        <v>#NAME?</v>
      </c>
      <c r="E18" t="e">
        <f ca="1">_xll.BDH("vix us " &amp; TEXT(E$1,"mm/dd/yy") &amp; " P"&amp;$A18&amp; " Index","px mid",$A$1)</f>
        <v>#NAME?</v>
      </c>
      <c r="F18" t="e">
        <f ca="1">_xll.BDH("vix us " &amp; TEXT(F$1,"mm/dd/yy") &amp; " P"&amp;$A18&amp; " Index","px mid",$A$1)</f>
        <v>#NAME?</v>
      </c>
    </row>
    <row r="19" spans="1:6" x14ac:dyDescent="0.25">
      <c r="A19">
        <v>26</v>
      </c>
      <c r="B19" t="e">
        <f ca="1">_xll.BDH("vix us " &amp; TEXT(B$1,"mm/dd/yy") &amp; " P"&amp;$A19&amp; " Index","px mid",$A$1)</f>
        <v>#NAME?</v>
      </c>
      <c r="C19" t="e">
        <f ca="1">_xll.BDH("vix us " &amp; TEXT(C$1,"mm/dd/yy") &amp; " P"&amp;$A19&amp; " Index","px mid",$A$1)</f>
        <v>#NAME?</v>
      </c>
      <c r="D19" t="e">
        <f ca="1">_xll.BDH("vix us " &amp; TEXT(D$1,"mm/dd/yy") &amp; " P"&amp;$A19&amp; " Index","px mid",$A$1)</f>
        <v>#NAME?</v>
      </c>
      <c r="E19" t="e">
        <f ca="1">_xll.BDH("vix us " &amp; TEXT(E$1,"mm/dd/yy") &amp; " P"&amp;$A19&amp; " Index","px mid",$A$1)</f>
        <v>#NAME?</v>
      </c>
      <c r="F19" t="e">
        <f ca="1">_xll.BDH("vix us " &amp; TEXT(F$1,"mm/dd/yy") &amp; " P"&amp;$A19&amp; " Index","px mid",$A$1)</f>
        <v>#NAME?</v>
      </c>
    </row>
    <row r="20" spans="1:6" x14ac:dyDescent="0.25">
      <c r="A20">
        <v>27</v>
      </c>
      <c r="B20" t="e">
        <f ca="1">_xll.BDH("vix us " &amp; TEXT(B$1,"mm/dd/yy") &amp; " P"&amp;$A20&amp; " Index","px mid",$A$1)</f>
        <v>#NAME?</v>
      </c>
      <c r="C20" t="e">
        <f ca="1">_xll.BDH("vix us " &amp; TEXT(C$1,"mm/dd/yy") &amp; " P"&amp;$A20&amp; " Index","px mid",$A$1)</f>
        <v>#NAME?</v>
      </c>
      <c r="D20" t="e">
        <f ca="1">_xll.BDH("vix us " &amp; TEXT(D$1,"mm/dd/yy") &amp; " P"&amp;$A20&amp; " Index","px mid",$A$1)</f>
        <v>#NAME?</v>
      </c>
      <c r="E20" t="e">
        <f ca="1">_xll.BDH("vix us " &amp; TEXT(E$1,"mm/dd/yy") &amp; " P"&amp;$A20&amp; " Index","px mid",$A$1)</f>
        <v>#NAME?</v>
      </c>
      <c r="F20" t="e">
        <f ca="1">_xll.BDH("vix us " &amp; TEXT(F$1,"mm/dd/yy") &amp; " P"&amp;$A20&amp; " Index","px mid",$A$1)</f>
        <v>#NAME?</v>
      </c>
    </row>
    <row r="21" spans="1:6" x14ac:dyDescent="0.25">
      <c r="A21">
        <v>28</v>
      </c>
      <c r="B21" t="e">
        <f ca="1">_xll.BDH("vix us " &amp; TEXT(B$1,"mm/dd/yy") &amp; " P"&amp;$A21&amp; " Index","px mid",$A$1)</f>
        <v>#NAME?</v>
      </c>
      <c r="C21" t="e">
        <f ca="1">_xll.BDH("vix us " &amp; TEXT(C$1,"mm/dd/yy") &amp; " P"&amp;$A21&amp; " Index","px mid",$A$1)</f>
        <v>#NAME?</v>
      </c>
      <c r="D21" t="e">
        <f ca="1">_xll.BDH("vix us " &amp; TEXT(D$1,"mm/dd/yy") &amp; " P"&amp;$A21&amp; " Index","px mid",$A$1)</f>
        <v>#NAME?</v>
      </c>
      <c r="E21" t="e">
        <f ca="1">_xll.BDH("vix us " &amp; TEXT(E$1,"mm/dd/yy") &amp; " P"&amp;$A21&amp; " Index","px mid",$A$1)</f>
        <v>#NAME?</v>
      </c>
      <c r="F21" t="e">
        <f ca="1">_xll.BDH("vix us " &amp; TEXT(F$1,"mm/dd/yy") &amp; " P"&amp;$A21&amp; " Index","px mid",$A$1)</f>
        <v>#NAME?</v>
      </c>
    </row>
    <row r="22" spans="1:6" x14ac:dyDescent="0.25">
      <c r="A22">
        <v>29</v>
      </c>
      <c r="B22" t="e">
        <f ca="1">_xll.BDH("vix us " &amp; TEXT(B$1,"mm/dd/yy") &amp; " P"&amp;$A22&amp; " Index","px mid",$A$1)</f>
        <v>#NAME?</v>
      </c>
      <c r="C22" t="e">
        <f ca="1">_xll.BDH("vix us " &amp; TEXT(C$1,"mm/dd/yy") &amp; " P"&amp;$A22&amp; " Index","px mid",$A$1)</f>
        <v>#NAME?</v>
      </c>
      <c r="D22" t="e">
        <f ca="1">_xll.BDH("vix us " &amp; TEXT(D$1,"mm/dd/yy") &amp; " P"&amp;$A22&amp; " Index","px mid",$A$1)</f>
        <v>#NAME?</v>
      </c>
      <c r="E22" t="e">
        <f ca="1">_xll.BDH("vix us " &amp; TEXT(E$1,"mm/dd/yy") &amp; " P"&amp;$A22&amp; " Index","px mid",$A$1)</f>
        <v>#NAME?</v>
      </c>
      <c r="F22" t="e">
        <f ca="1">_xll.BDH("vix us " &amp; TEXT(F$1,"mm/dd/yy") &amp; " P"&amp;$A22&amp; " Index","px mid",$A$1)</f>
        <v>#NAME?</v>
      </c>
    </row>
    <row r="23" spans="1:6" x14ac:dyDescent="0.25">
      <c r="A23">
        <v>30</v>
      </c>
      <c r="B23" t="e">
        <f ca="1">_xll.BDH("vix us " &amp; TEXT(B$1,"mm/dd/yy") &amp; " P"&amp;$A23&amp; " Index","px mid",$A$1)</f>
        <v>#NAME?</v>
      </c>
      <c r="C23" t="e">
        <f ca="1">_xll.BDH("vix us " &amp; TEXT(C$1,"mm/dd/yy") &amp; " P"&amp;$A23&amp; " Index","px mid",$A$1)</f>
        <v>#NAME?</v>
      </c>
      <c r="D23" t="e">
        <f ca="1">_xll.BDH("vix us " &amp; TEXT(D$1,"mm/dd/yy") &amp; " P"&amp;$A23&amp; " Index","px mid",$A$1)</f>
        <v>#NAME?</v>
      </c>
      <c r="E23" t="e">
        <f ca="1">_xll.BDH("vix us " &amp; TEXT(E$1,"mm/dd/yy") &amp; " P"&amp;$A23&amp; " Index","px mid",$A$1)</f>
        <v>#NAME?</v>
      </c>
      <c r="F23" t="e">
        <f ca="1">_xll.BDH("vix us " &amp; TEXT(F$1,"mm/dd/yy") &amp; " P"&amp;$A23&amp; " Index","px mid",$A$1)</f>
        <v>#NAME?</v>
      </c>
    </row>
    <row r="24" spans="1:6" x14ac:dyDescent="0.25">
      <c r="A24">
        <v>35</v>
      </c>
      <c r="B24" t="e">
        <f ca="1">_xll.BDH("vix us " &amp; TEXT(B$1,"mm/dd/yy") &amp; " P"&amp;$A24&amp; " Index","px mid",$A$1)</f>
        <v>#NAME?</v>
      </c>
      <c r="C24" t="e">
        <f ca="1">_xll.BDH("vix us " &amp; TEXT(C$1,"mm/dd/yy") &amp; " P"&amp;$A24&amp; " Index","px mid",$A$1)</f>
        <v>#NAME?</v>
      </c>
      <c r="D24" t="e">
        <f ca="1">_xll.BDH("vix us " &amp; TEXT(D$1,"mm/dd/yy") &amp; " P"&amp;$A24&amp; " Index","px mid",$A$1)</f>
        <v>#NAME?</v>
      </c>
      <c r="E24" t="e">
        <f ca="1">_xll.BDH("vix us " &amp; TEXT(E$1,"mm/dd/yy") &amp; " P"&amp;$A24&amp; " Index","px mid",$A$1)</f>
        <v>#NAME?</v>
      </c>
      <c r="F24" t="e">
        <f ca="1">_xll.BDH("vix us " &amp; TEXT(F$1,"mm/dd/yy") &amp; " P"&amp;$A24&amp; " Index","px mid",$A$1)</f>
        <v>#NAME?</v>
      </c>
    </row>
    <row r="25" spans="1:6" x14ac:dyDescent="0.25">
      <c r="A25">
        <v>40</v>
      </c>
      <c r="B25" t="e">
        <f ca="1">_xll.BDH("vix us " &amp; TEXT(B$1,"mm/dd/yy") &amp; " P"&amp;$A25&amp; " Index","px mid",$A$1)</f>
        <v>#NAME?</v>
      </c>
      <c r="C25" t="e">
        <f ca="1">_xll.BDH("vix us " &amp; TEXT(C$1,"mm/dd/yy") &amp; " P"&amp;$A25&amp; " Index","px mid",$A$1)</f>
        <v>#NAME?</v>
      </c>
      <c r="D25" t="e">
        <f ca="1">_xll.BDH("vix us " &amp; TEXT(D$1,"mm/dd/yy") &amp; " P"&amp;$A25&amp; " Index","px mid",$A$1)</f>
        <v>#NAME?</v>
      </c>
      <c r="E25" t="e">
        <f ca="1">_xll.BDH("vix us " &amp; TEXT(E$1,"mm/dd/yy") &amp; " P"&amp;$A25&amp; " Index","px mid",$A$1)</f>
        <v>#NAME?</v>
      </c>
      <c r="F25" t="e">
        <f ca="1">_xll.BDH("vix us " &amp; TEXT(F$1,"mm/dd/yy") &amp; " P"&amp;$A25&amp; " Index","px mid",$A$1)</f>
        <v>#NAME?</v>
      </c>
    </row>
    <row r="26" spans="1:6" x14ac:dyDescent="0.25">
      <c r="A26">
        <v>45</v>
      </c>
      <c r="B26" t="e">
        <f ca="1">_xll.BDH("vix us " &amp; TEXT(B$1,"mm/dd/yy") &amp; " P"&amp;$A26&amp; " Index","px mid",$A$1)</f>
        <v>#NAME?</v>
      </c>
      <c r="C26" t="e">
        <f ca="1">_xll.BDH("vix us " &amp; TEXT(C$1,"mm/dd/yy") &amp; " P"&amp;$A26&amp; " Index","px mid",$A$1)</f>
        <v>#NAME?</v>
      </c>
      <c r="D26" t="e">
        <f ca="1">_xll.BDH("vix us " &amp; TEXT(D$1,"mm/dd/yy") &amp; " P"&amp;$A26&amp; " Index","px mid",$A$1)</f>
        <v>#NAME?</v>
      </c>
      <c r="E26" t="e">
        <f ca="1">_xll.BDH("vix us " &amp; TEXT(E$1,"mm/dd/yy") &amp; " P"&amp;$A26&amp; " Index","px mid",$A$1)</f>
        <v>#NAME?</v>
      </c>
      <c r="F26" t="e">
        <f ca="1">_xll.BDH("vix us " &amp; TEXT(F$1,"mm/dd/yy") &amp; " P"&amp;$A26&amp; " Index","px mid",$A$1)</f>
        <v>#NAME?</v>
      </c>
    </row>
    <row r="27" spans="1:6" x14ac:dyDescent="0.25">
      <c r="A27">
        <v>50</v>
      </c>
      <c r="B27" t="e">
        <f ca="1">_xll.BDH("vix us " &amp; TEXT(B$1,"mm/dd/yy") &amp; " P"&amp;$A27&amp; " Index","px mid",$A$1)</f>
        <v>#NAME?</v>
      </c>
      <c r="C27" t="e">
        <f ca="1">_xll.BDH("vix us " &amp; TEXT(C$1,"mm/dd/yy") &amp; " P"&amp;$A27&amp; " Index","px mid",$A$1)</f>
        <v>#NAME?</v>
      </c>
      <c r="D27" t="e">
        <f ca="1">_xll.BDH("vix us " &amp; TEXT(D$1,"mm/dd/yy") &amp; " P"&amp;$A27&amp; " Index","px mid",$A$1)</f>
        <v>#NAME?</v>
      </c>
      <c r="E27" t="e">
        <f ca="1">_xll.BDH("vix us " &amp; TEXT(E$1,"mm/dd/yy") &amp; " P"&amp;$A27&amp; " Index","px mid",$A$1)</f>
        <v>#NAME?</v>
      </c>
      <c r="F27" t="e">
        <f ca="1">_xll.BDH("vix us " &amp; TEXT(F$1,"mm/dd/yy") &amp; " P"&amp;$A27&amp; " Index","px mid",$A$1)</f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" width="10.42578125" bestFit="1" customWidth="1"/>
  </cols>
  <sheetData>
    <row r="1" spans="1:1" x14ac:dyDescent="0.25">
      <c r="A1" s="1">
        <v>42979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Forward</vt:lpstr>
      <vt:lpstr>Data</vt:lpstr>
      <vt:lpstr>Call</vt:lpstr>
      <vt:lpstr>Put</vt:lpstr>
      <vt:lpstr>Date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bloomberg12</dc:creator>
  <cp:lastModifiedBy>Luc Berthiaume</cp:lastModifiedBy>
  <dcterms:created xsi:type="dcterms:W3CDTF">2017-09-28T14:37:13Z</dcterms:created>
  <dcterms:modified xsi:type="dcterms:W3CDTF">2017-10-20T21:06:52Z</dcterms:modified>
</cp:coreProperties>
</file>